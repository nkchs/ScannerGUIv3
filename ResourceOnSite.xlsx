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restmining-my.sharepoint.com/personal/nic_chase_newcrest_com_au/Documents/Documents/Projects/Scanner/"/>
    </mc:Choice>
  </mc:AlternateContent>
  <xr:revisionPtr revIDLastSave="2" documentId="11_6AFF926A4E24EEC180A98A55B93E6C833FAF205A" xr6:coauthVersionLast="47" xr6:coauthVersionMax="47" xr10:uidLastSave="{8ACFC891-6C9F-4ED7-ACC2-75640FEDE41D}"/>
  <bookViews>
    <workbookView xWindow="1837" yWindow="1837" windowWidth="21600" windowHeight="12826" activeTab="1" xr2:uid="{00000000-000D-0000-FFFF-FFFF00000000}"/>
  </bookViews>
  <sheets>
    <sheet name="Summary" sheetId="3" r:id="rId1"/>
    <sheet name="Pivot" sheetId="5" r:id="rId2"/>
    <sheet name="Raw" sheetId="4" state="veryHidden" r:id="rId3"/>
    <sheet name="Detail" sheetId="1" r:id="r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Detail!$A$12:$O$95</definedName>
    <definedName name="__group2__" localSheetId="0">Summary!$A$5:$D$18</definedName>
    <definedName name="_xlnm.Print_Titles" localSheetId="3">Detail!$1:$11</definedName>
    <definedName name="_xlnm.Print_Titles" localSheetId="0">Summary!$1:$4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D17" i="3"/>
  <c r="C17" i="3"/>
</calcChain>
</file>

<file path=xl/sharedStrings.xml><?xml version="1.0" encoding="utf-8"?>
<sst xmlns="http://schemas.openxmlformats.org/spreadsheetml/2006/main" count="2293" uniqueCount="446">
  <si>
    <t>Room #</t>
  </si>
  <si>
    <t>Name</t>
  </si>
  <si>
    <t>Shift Status</t>
  </si>
  <si>
    <t>Department</t>
  </si>
  <si>
    <t>People Type</t>
  </si>
  <si>
    <t>Contact Name</t>
  </si>
  <si>
    <t>Phone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</si>
  <si>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</si>
  <si>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</si>
  <si>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</si>
  <si>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</si>
  <si>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</si>
  <si>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</si>
  <si>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</si>
  <si>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</si>
  <si>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</si>
  <si>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</si>
  <si>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</si>
  <si>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</si>
  <si>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</si>
  <si>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</si>
  <si>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</si>
  <si>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</si>
  <si>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</si>
  <si>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Grand Total</t>
  </si>
  <si>
    <t xml:space="preserve"> </t>
  </si>
  <si>
    <t>Resources On Site</t>
  </si>
  <si>
    <t>For Date 21/06/2024</t>
  </si>
  <si>
    <t>Telfer</t>
  </si>
  <si>
    <t>MT - Conveyor Services</t>
  </si>
  <si>
    <t>MT - Cranes</t>
  </si>
  <si>
    <t>MT - Mill Maintenance</t>
  </si>
  <si>
    <t>MT - Mill Maintenance Replacement Labour Hire</t>
  </si>
  <si>
    <t>MT - Mill Maintenance Temp Labour</t>
  </si>
  <si>
    <t>MT - Mngt/Admin</t>
  </si>
  <si>
    <t>MT - Planning</t>
  </si>
  <si>
    <t>MT - Planning Replacement Labour Hire</t>
  </si>
  <si>
    <t>MT - Reliability</t>
  </si>
  <si>
    <t>MT - Scaffolding</t>
  </si>
  <si>
    <t>MT - Surface Major Maintenance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</si>
  <si>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</si>
  <si>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</si>
  <si>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Scaffolding,MT - Surface Major Maintenance</t>
  </si>
  <si>
    <t>All Group Masters</t>
  </si>
  <si>
    <t>All Group Details</t>
  </si>
  <si>
    <t>Ensuite Motelling</t>
  </si>
  <si>
    <t>046/12</t>
  </si>
  <si>
    <t>DS</t>
  </si>
  <si>
    <t>Alcuizar, Edson</t>
  </si>
  <si>
    <t>90130080</t>
  </si>
  <si>
    <t>APMS OPERATIONS AUSTRALIA PTY LTD</t>
  </si>
  <si>
    <t>Temporary Contractor</t>
  </si>
  <si>
    <t>Jason Madden</t>
  </si>
  <si>
    <t>+61 8 9158 6377</t>
  </si>
  <si>
    <t>QQ878 TUE 2 1420 PER 1630 TEF</t>
  </si>
  <si>
    <t>QQ879 TUE 2 1720 TEF 1930 PER</t>
  </si>
  <si>
    <t>048/07</t>
  </si>
  <si>
    <t>Baguio, Ramil</t>
  </si>
  <si>
    <t>90037615</t>
  </si>
  <si>
    <t>TECHNICAL MAINTENANCE SUPPORT (TMS)</t>
  </si>
  <si>
    <t>QQ870 MON 1 0630 PER 0835 TEF</t>
  </si>
  <si>
    <t>QQ841 MON 2 1505 TEF 1720 PER</t>
  </si>
  <si>
    <t>Back to Back</t>
  </si>
  <si>
    <t>105/02</t>
  </si>
  <si>
    <t>Baldock, Grant</t>
  </si>
  <si>
    <t>19914</t>
  </si>
  <si>
    <t>NEWCREST MINING LIMITED</t>
  </si>
  <si>
    <t>Permanent Employee</t>
  </si>
  <si>
    <t>Dean Larsen</t>
  </si>
  <si>
    <t>9158 6448</t>
  </si>
  <si>
    <t>QQ870 FRI 1 0630 PER 0835 TEF</t>
  </si>
  <si>
    <t>QQ877 FRI 1 1600 TEF 1810 PER</t>
  </si>
  <si>
    <t>122/13</t>
  </si>
  <si>
    <t>Biljabu, Jaydin</t>
  </si>
  <si>
    <t>20385</t>
  </si>
  <si>
    <t>Warren Triplett</t>
  </si>
  <si>
    <t>Car 0600 DRV 0600 DRV</t>
  </si>
  <si>
    <t>Car 1800 DRV 1800 DRV</t>
  </si>
  <si>
    <t>121/21</t>
  </si>
  <si>
    <t>Blacker, Robert</t>
  </si>
  <si>
    <t>90004837</t>
  </si>
  <si>
    <t>SMS GROUP SERVICES</t>
  </si>
  <si>
    <t>Permanent Contractor</t>
  </si>
  <si>
    <t>Wade McNally</t>
  </si>
  <si>
    <t>0409 275 423</t>
  </si>
  <si>
    <t>124/12</t>
  </si>
  <si>
    <t>Blackman, Jamie</t>
  </si>
  <si>
    <t>90117936</t>
  </si>
  <si>
    <t>BOOM LOGISTICS LTD</t>
  </si>
  <si>
    <t>Jacinta Dufall</t>
  </si>
  <si>
    <t>0457253455</t>
  </si>
  <si>
    <t>049/17</t>
  </si>
  <si>
    <t>Burton, Anthony</t>
  </si>
  <si>
    <t>90075285</t>
  </si>
  <si>
    <t>051/23</t>
  </si>
  <si>
    <t>RO</t>
  </si>
  <si>
    <t>Canham, Charles</t>
  </si>
  <si>
    <t>90127978</t>
  </si>
  <si>
    <t>105/04</t>
  </si>
  <si>
    <t>NS</t>
  </si>
  <si>
    <t>Castle, Jason</t>
  </si>
  <si>
    <t>11356</t>
  </si>
  <si>
    <t>Mark Neville</t>
  </si>
  <si>
    <t>QQ878 THU 2 1420 PER 1630 TEF</t>
  </si>
  <si>
    <t>QQ871 THU 1 0930 TEF 1140 PER</t>
  </si>
  <si>
    <t>124/23</t>
  </si>
  <si>
    <t>Chase, Nicholas</t>
  </si>
  <si>
    <t>23328</t>
  </si>
  <si>
    <t>QQ877 MON 1 1600 TEF 1810 PER</t>
  </si>
  <si>
    <t>104/12</t>
  </si>
  <si>
    <t>Chong, Soon</t>
  </si>
  <si>
    <t>23904</t>
  </si>
  <si>
    <t>Ivan Wong</t>
  </si>
  <si>
    <t>046/22</t>
  </si>
  <si>
    <t>Churchill, Daniel</t>
  </si>
  <si>
    <t>90131289</t>
  </si>
  <si>
    <t>0419444737</t>
  </si>
  <si>
    <t>054/15</t>
  </si>
  <si>
    <t>Corkill, Paul</t>
  </si>
  <si>
    <t>90005210</t>
  </si>
  <si>
    <t>048/15</t>
  </si>
  <si>
    <t>Dalton, Ricky</t>
  </si>
  <si>
    <t>90134023</t>
  </si>
  <si>
    <t>QQ870 TUE 1 0630 PER 0835 TEF</t>
  </si>
  <si>
    <t>109/11</t>
  </si>
  <si>
    <t>Daunt, Keenan</t>
  </si>
  <si>
    <t>24781</t>
  </si>
  <si>
    <t>0459873520</t>
  </si>
  <si>
    <t>QQ870 THU 1 0630 PER 0835 TEF</t>
  </si>
  <si>
    <t>QQ879 THU 2 1720 TEF 1930 PER</t>
  </si>
  <si>
    <t>133/05</t>
  </si>
  <si>
    <t>Dempster, Roger</t>
  </si>
  <si>
    <t>21158</t>
  </si>
  <si>
    <t>056/16</t>
  </si>
  <si>
    <t>Eastman, Brian</t>
  </si>
  <si>
    <t>22293</t>
  </si>
  <si>
    <t>Bradley Fussell</t>
  </si>
  <si>
    <t>048/10</t>
  </si>
  <si>
    <t>Eaton, Brodie</t>
  </si>
  <si>
    <t>90070857</t>
  </si>
  <si>
    <t>131/05</t>
  </si>
  <si>
    <t>Edwards, Lachlan</t>
  </si>
  <si>
    <t>24578</t>
  </si>
  <si>
    <t>Anton Akulinkin</t>
  </si>
  <si>
    <t>0403787178</t>
  </si>
  <si>
    <t>049/19</t>
  </si>
  <si>
    <t>Eylward, Rhett</t>
  </si>
  <si>
    <t>90074908</t>
  </si>
  <si>
    <t>124/19</t>
  </si>
  <si>
    <t>Fraser, Alan</t>
  </si>
  <si>
    <t>11141</t>
  </si>
  <si>
    <t>103/01</t>
  </si>
  <si>
    <t>Fullwood, Stephen</t>
  </si>
  <si>
    <t>22240</t>
  </si>
  <si>
    <t>Simon Sheehan</t>
  </si>
  <si>
    <t>099/05</t>
  </si>
  <si>
    <t>Fussell, Bradley</t>
  </si>
  <si>
    <t>5480</t>
  </si>
  <si>
    <t>Jason Madden / Wade McNally</t>
  </si>
  <si>
    <t>QQ870 WED 1 0630 PER 0835 TEF</t>
  </si>
  <si>
    <t>QQ879 WED 2 1720 TEF 1930 PER</t>
  </si>
  <si>
    <t>122/08</t>
  </si>
  <si>
    <t>Gell, Anthony</t>
  </si>
  <si>
    <t>90120366</t>
  </si>
  <si>
    <t>COATES HIRE</t>
  </si>
  <si>
    <t>Replacement Labour</t>
  </si>
  <si>
    <t>Michael Menzies</t>
  </si>
  <si>
    <t>0405448879</t>
  </si>
  <si>
    <t>Deluxe Garden View</t>
  </si>
  <si>
    <t>073/09</t>
  </si>
  <si>
    <t>Georgel, Dion</t>
  </si>
  <si>
    <t>22153</t>
  </si>
  <si>
    <t>Alistair Baker</t>
  </si>
  <si>
    <t>121/10</t>
  </si>
  <si>
    <t>Harris, Jack</t>
  </si>
  <si>
    <t>90130551</t>
  </si>
  <si>
    <t>049/03</t>
  </si>
  <si>
    <t>Hay, Shaquille</t>
  </si>
  <si>
    <t>90101753</t>
  </si>
  <si>
    <t>127/11</t>
  </si>
  <si>
    <t>Hayward, Toby</t>
  </si>
  <si>
    <t>19573</t>
  </si>
  <si>
    <t>063/04</t>
  </si>
  <si>
    <t>Hermosa, Arlan</t>
  </si>
  <si>
    <t>20388</t>
  </si>
  <si>
    <t>Hirama, Hohepa</t>
  </si>
  <si>
    <t>90128099</t>
  </si>
  <si>
    <t>108/03</t>
  </si>
  <si>
    <t>Howard, Mick</t>
  </si>
  <si>
    <t>19783</t>
  </si>
  <si>
    <t>057/05</t>
  </si>
  <si>
    <t>Ingle, Jarrod</t>
  </si>
  <si>
    <t>24065</t>
  </si>
  <si>
    <t>Warren Tripplett</t>
  </si>
  <si>
    <t>124/22</t>
  </si>
  <si>
    <t>Isard, Philippe</t>
  </si>
  <si>
    <t>19133</t>
  </si>
  <si>
    <t>125/02</t>
  </si>
  <si>
    <t>Jones, Cameron</t>
  </si>
  <si>
    <t>90118868</t>
  </si>
  <si>
    <t>MINPROVISE INTERNATIONAL PTY LTD</t>
  </si>
  <si>
    <t>Trent Donges</t>
  </si>
  <si>
    <t>0427876723</t>
  </si>
  <si>
    <t>101/09</t>
  </si>
  <si>
    <t>Jury, Mark</t>
  </si>
  <si>
    <t>3737</t>
  </si>
  <si>
    <t>William Madeley</t>
  </si>
  <si>
    <t>125/23</t>
  </si>
  <si>
    <t>Keown, Michael</t>
  </si>
  <si>
    <t>23797</t>
  </si>
  <si>
    <t>051/07</t>
  </si>
  <si>
    <t>Lim, Taecheol</t>
  </si>
  <si>
    <t>90134163</t>
  </si>
  <si>
    <t>061/05</t>
  </si>
  <si>
    <t>Macapili, Edgar</t>
  </si>
  <si>
    <t>24373</t>
  </si>
  <si>
    <t>0418411122</t>
  </si>
  <si>
    <t>101/11</t>
  </si>
  <si>
    <t>Mahan, Reza</t>
  </si>
  <si>
    <t>90046215</t>
  </si>
  <si>
    <t>TECHFORCE PERSONNEL PTY LTD</t>
  </si>
  <si>
    <t>0401 273 744</t>
  </si>
  <si>
    <t>064/08</t>
  </si>
  <si>
    <t>Maniapoto, Dion</t>
  </si>
  <si>
    <t>20898</t>
  </si>
  <si>
    <t>102/04</t>
  </si>
  <si>
    <t>McGougan, Archie</t>
  </si>
  <si>
    <t>90131908</t>
  </si>
  <si>
    <t>McGregor, Shannon</t>
  </si>
  <si>
    <t>90112330</t>
  </si>
  <si>
    <t>Single Ensuite</t>
  </si>
  <si>
    <t>147/03</t>
  </si>
  <si>
    <t>McNally, Wade</t>
  </si>
  <si>
    <t>10793</t>
  </si>
  <si>
    <t>9158 6298</t>
  </si>
  <si>
    <t>099/12</t>
  </si>
  <si>
    <t>McQuarrie, Timothy</t>
  </si>
  <si>
    <t>16026</t>
  </si>
  <si>
    <t>109/07</t>
  </si>
  <si>
    <t>Mitchell, Cheynne</t>
  </si>
  <si>
    <t>90061866</t>
  </si>
  <si>
    <t>121/22</t>
  </si>
  <si>
    <t>Murphy, Matthew</t>
  </si>
  <si>
    <t>23234</t>
  </si>
  <si>
    <t>Cooper Jeffery</t>
  </si>
  <si>
    <t>0458 103 404</t>
  </si>
  <si>
    <t>047/22</t>
  </si>
  <si>
    <t>Murray, Reece</t>
  </si>
  <si>
    <t>90009868</t>
  </si>
  <si>
    <t>123/09</t>
  </si>
  <si>
    <t>Nattriss, Harry</t>
  </si>
  <si>
    <t>22560</t>
  </si>
  <si>
    <t>046/14</t>
  </si>
  <si>
    <t>Navales, Renato</t>
  </si>
  <si>
    <t>90131405</t>
  </si>
  <si>
    <t>105/01</t>
  </si>
  <si>
    <t>Neville, Mark</t>
  </si>
  <si>
    <t>4953</t>
  </si>
  <si>
    <t>QQ878 WED 2 1420 PER 1630 TEF</t>
  </si>
  <si>
    <t>QQ871 WED 1 0930 TEF 1140 PER</t>
  </si>
  <si>
    <t>Back to Back B50 B107 B135 B88</t>
  </si>
  <si>
    <t>135/12</t>
  </si>
  <si>
    <t>Newman, Bella</t>
  </si>
  <si>
    <t>90117684</t>
  </si>
  <si>
    <t>HAYS PERSONNEL SERVICES</t>
  </si>
  <si>
    <t>0409 275   423</t>
  </si>
  <si>
    <t>048/06</t>
  </si>
  <si>
    <t>Nopueto, Neil</t>
  </si>
  <si>
    <t>90130081</t>
  </si>
  <si>
    <t>102/15</t>
  </si>
  <si>
    <t>Obeyesekere, Dinesh</t>
  </si>
  <si>
    <t>20453</t>
  </si>
  <si>
    <t>048/05</t>
  </si>
  <si>
    <t>O'Driscoll, Rixon</t>
  </si>
  <si>
    <t>90123864</t>
  </si>
  <si>
    <t>049/15</t>
  </si>
  <si>
    <t>Ola, Rolando</t>
  </si>
  <si>
    <t>90128939</t>
  </si>
  <si>
    <t>Parrott, Kevin</t>
  </si>
  <si>
    <t>90101732</t>
  </si>
  <si>
    <t>Pompey, Casey</t>
  </si>
  <si>
    <t>90009894</t>
  </si>
  <si>
    <t>Pondaag, Onesimus</t>
  </si>
  <si>
    <t>5320</t>
  </si>
  <si>
    <t>Andrew Hodgson</t>
  </si>
  <si>
    <t>125/01</t>
  </si>
  <si>
    <t>Roberts, Dion</t>
  </si>
  <si>
    <t>90128632</t>
  </si>
  <si>
    <t>CHANDLER MACLEOD GROUP LIMITED</t>
  </si>
  <si>
    <t>Dion Georgel</t>
  </si>
  <si>
    <t>0400491652</t>
  </si>
  <si>
    <t>048/09</t>
  </si>
  <si>
    <t>Robinson, Mark</t>
  </si>
  <si>
    <t>90053090</t>
  </si>
  <si>
    <t>105/06</t>
  </si>
  <si>
    <t>Ryan, Alan</t>
  </si>
  <si>
    <t>90128100</t>
  </si>
  <si>
    <t>101/15</t>
  </si>
  <si>
    <t>Shields, Rob</t>
  </si>
  <si>
    <t>22388</t>
  </si>
  <si>
    <t>054/08</t>
  </si>
  <si>
    <t>Simcock, Brendan</t>
  </si>
  <si>
    <t>19956</t>
  </si>
  <si>
    <t>103/09</t>
  </si>
  <si>
    <t>Smith, Paul G</t>
  </si>
  <si>
    <t>15734</t>
  </si>
  <si>
    <t>104/07</t>
  </si>
  <si>
    <t>Smith, Shaun</t>
  </si>
  <si>
    <t>19829</t>
  </si>
  <si>
    <t>Benjamin Harmsworth</t>
  </si>
  <si>
    <t>048/02</t>
  </si>
  <si>
    <t>Suckling, Kim</t>
  </si>
  <si>
    <t>90057249</t>
  </si>
  <si>
    <t>126/13</t>
  </si>
  <si>
    <t>Sugget, Gordon</t>
  </si>
  <si>
    <t>6196</t>
  </si>
  <si>
    <t>121/17</t>
  </si>
  <si>
    <t>Sujono, Ilya</t>
  </si>
  <si>
    <t>24410</t>
  </si>
  <si>
    <t>Ruben Quispe</t>
  </si>
  <si>
    <t>0452206597</t>
  </si>
  <si>
    <t>051/01</t>
  </si>
  <si>
    <t>Tarchini, Joel</t>
  </si>
  <si>
    <t>90003219</t>
  </si>
  <si>
    <t>Couples Single Ensuite</t>
  </si>
  <si>
    <t>126/01</t>
  </si>
  <si>
    <t>Tate, Eleatha</t>
  </si>
  <si>
    <t>90117309</t>
  </si>
  <si>
    <t>057/04</t>
  </si>
  <si>
    <t>Taura, Jeremiah</t>
  </si>
  <si>
    <t>90040292</t>
  </si>
  <si>
    <t>Tawaka, Russell-Kingi</t>
  </si>
  <si>
    <t>90047222</t>
  </si>
  <si>
    <t>108/11</t>
  </si>
  <si>
    <t>Triplett, Warren</t>
  </si>
  <si>
    <t>11103</t>
  </si>
  <si>
    <t>Valderrama, Sarah</t>
  </si>
  <si>
    <t>24363</t>
  </si>
  <si>
    <t>0409275423</t>
  </si>
  <si>
    <t>129/08</t>
  </si>
  <si>
    <t>Van Wyk, Allen</t>
  </si>
  <si>
    <t>90061280</t>
  </si>
  <si>
    <t>GMR SERVICES OP PTY LTD</t>
  </si>
  <si>
    <t>103/10</t>
  </si>
  <si>
    <t>Walker, Curtis</t>
  </si>
  <si>
    <t>23059</t>
  </si>
  <si>
    <t>0419 444 737</t>
  </si>
  <si>
    <t>099/06</t>
  </si>
  <si>
    <t>Ward, Paul</t>
  </si>
  <si>
    <t>4938</t>
  </si>
  <si>
    <t>122/15</t>
  </si>
  <si>
    <t>Weichert, Benjamin</t>
  </si>
  <si>
    <t>23211</t>
  </si>
  <si>
    <t>126/01v</t>
  </si>
  <si>
    <t>Whittering, David</t>
  </si>
  <si>
    <t>90116535</t>
  </si>
  <si>
    <t>121/12</t>
  </si>
  <si>
    <t>Wright, Danny</t>
  </si>
  <si>
    <t>18164</t>
  </si>
  <si>
    <t>106/05</t>
  </si>
  <si>
    <t>Wright, Robert</t>
  </si>
  <si>
    <t>4937</t>
  </si>
  <si>
    <t>Mobile</t>
  </si>
  <si>
    <t>SignHere</t>
  </si>
  <si>
    <t>Total for 21/06/2024 :</t>
  </si>
  <si>
    <t>+61456478832</t>
  </si>
  <si>
    <t>+61457724795</t>
  </si>
  <si>
    <t>+61414232340</t>
  </si>
  <si>
    <t>+61474935563</t>
  </si>
  <si>
    <t>+61409103416</t>
  </si>
  <si>
    <t>+61428375800</t>
  </si>
  <si>
    <t>+61400077722</t>
  </si>
  <si>
    <t>+61428267656</t>
  </si>
  <si>
    <t>+61417980371</t>
  </si>
  <si>
    <t>+61433560373</t>
  </si>
  <si>
    <t>+61433700674</t>
  </si>
  <si>
    <t>+61448186824</t>
  </si>
  <si>
    <t>+61424432308</t>
  </si>
  <si>
    <t>+61447279247</t>
  </si>
  <si>
    <t>+61414544179</t>
  </si>
  <si>
    <t>+61408816012</t>
  </si>
  <si>
    <t>+61436007878</t>
  </si>
  <si>
    <t>+61492419756</t>
  </si>
  <si>
    <t>+61444570684</t>
  </si>
  <si>
    <t>+61487208373</t>
  </si>
  <si>
    <t>+61418525055</t>
  </si>
  <si>
    <t>+61403893992</t>
  </si>
  <si>
    <t>+61474244985</t>
  </si>
  <si>
    <t>+61409710499</t>
  </si>
  <si>
    <t>+61400491652</t>
  </si>
  <si>
    <t>+61409992327</t>
  </si>
  <si>
    <t>+61499533988</t>
  </si>
  <si>
    <t>+61428223555</t>
  </si>
  <si>
    <t>+61467639875</t>
  </si>
  <si>
    <t>+61497014882</t>
  </si>
  <si>
    <t>+61422424742</t>
  </si>
  <si>
    <t>+61455470431</t>
  </si>
  <si>
    <t>+61467895983</t>
  </si>
  <si>
    <t>+61452643101</t>
  </si>
  <si>
    <t>+61417188174</t>
  </si>
  <si>
    <t>+61426868420</t>
  </si>
  <si>
    <t>+61452169035</t>
  </si>
  <si>
    <t>+61467727831</t>
  </si>
  <si>
    <t>+61474081523</t>
  </si>
  <si>
    <t>+61404090443</t>
  </si>
  <si>
    <t>+61428531913</t>
  </si>
  <si>
    <t>+61408544541</t>
  </si>
  <si>
    <t>+61409275423</t>
  </si>
  <si>
    <t>+61499247914</t>
  </si>
  <si>
    <t>+61458479726</t>
  </si>
  <si>
    <t>+61439907767</t>
  </si>
  <si>
    <t>+61487163370</t>
  </si>
  <si>
    <t>+61410580662</t>
  </si>
  <si>
    <t>+61457166049</t>
  </si>
  <si>
    <t>+61419444737</t>
  </si>
  <si>
    <t>+61466077496</t>
  </si>
  <si>
    <t>+61452338031</t>
  </si>
  <si>
    <t>+61406607712</t>
  </si>
  <si>
    <t>+61426209552</t>
  </si>
  <si>
    <t>+61467076132</t>
  </si>
  <si>
    <t>+61452225006</t>
  </si>
  <si>
    <t>+61428090592</t>
  </si>
  <si>
    <t>+61407363306</t>
  </si>
  <si>
    <t>+61400806020</t>
  </si>
  <si>
    <t>+61428155856</t>
  </si>
  <si>
    <t>+61455981875</t>
  </si>
  <si>
    <t>+61431291608</t>
  </si>
  <si>
    <t>+61407424493</t>
  </si>
  <si>
    <t>+61413373499</t>
  </si>
  <si>
    <t>+61400770228</t>
  </si>
  <si>
    <t>+61456621739</t>
  </si>
  <si>
    <t>+61400303690</t>
  </si>
  <si>
    <t>+61430394592</t>
  </si>
  <si>
    <t>+61409962702</t>
  </si>
  <si>
    <t>+61439834447</t>
  </si>
  <si>
    <t>+61418817826</t>
  </si>
  <si>
    <t>+61418301838</t>
  </si>
  <si>
    <t>+61401273744</t>
  </si>
  <si>
    <t>+61401369298</t>
  </si>
  <si>
    <t>+61410110558</t>
  </si>
  <si>
    <t>+61491003194</t>
  </si>
  <si>
    <t>+61488551557</t>
  </si>
  <si>
    <t>+61467079393</t>
  </si>
  <si>
    <t>+61437057732</t>
  </si>
  <si>
    <t>+61488081831</t>
  </si>
  <si>
    <t>+61407678583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</si>
</sst>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NumberFormat="1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c Chase" refreshedDate="45579.626651736115" createdVersion="7" refreshedVersion="8" minRefreshableVersion="3" recordCount="81" xr:uid="{CFA33954-2AE0-438A-B5C0-830B9597DD9E}">
  <cacheSource type="worksheet">
    <worksheetSource ref="A11:O92" sheet="Raw"/>
  </cacheSource>
  <cacheFields count="15">
    <cacheField name="Camp" numFmtId="0">
      <sharedItems/>
    </cacheField>
    <cacheField name="Room Type" numFmtId="0">
      <sharedItems/>
    </cacheField>
    <cacheField name="Room #" numFmtId="0">
      <sharedItems/>
    </cacheField>
    <cacheField name="Shift Status" numFmtId="0">
      <sharedItems containsBlank="1" count="5">
        <s v="DS"/>
        <s v="RO"/>
        <s v="NS"/>
        <s v="&lt;#datatable1.ShiftStatus&gt;" u="1"/>
        <m u="1"/>
      </sharedItems>
    </cacheField>
    <cacheField name="Name" numFmtId="0">
      <sharedItems/>
    </cacheField>
    <cacheField name="Person #" numFmtId="0">
      <sharedItems/>
    </cacheField>
    <cacheField name="Department" numFmtId="0">
      <sharedItems/>
    </cacheField>
    <cacheField name="Employer" numFmtId="0">
      <sharedItems/>
    </cacheField>
    <cacheField name="People Type" numFmtId="0">
      <sharedItems containsBlank="1" count="6">
        <s v="Temporary Contractor"/>
        <s v="Permanent Employee"/>
        <s v="Permanent Contractor"/>
        <s v="Replacement Labour"/>
        <s v="&lt;#datatable1.ResourceType&gt;" u="1"/>
        <m u="1"/>
      </sharedItems>
    </cacheField>
    <cacheField name="Contact Name" numFmtId="0">
      <sharedItems/>
    </cacheField>
    <cacheField name="Phone" numFmtId="0">
      <sharedItems/>
    </cacheField>
    <cacheField name="Arrival Date" numFmtId="14">
      <sharedItems containsSemiMixedTypes="0" containsNonDate="0" containsDate="1" containsString="0" minDate="2024-06-06T00:00:00" maxDate="2024-06-22T00:00:00"/>
    </cacheField>
    <cacheField name="Transport In" numFmtId="0">
      <sharedItems/>
    </cacheField>
    <cacheField name="Departure Date" numFmtId="14">
      <sharedItems containsSemiMixedTypes="0" containsNonDate="0" containsDate="1" containsString="0" minDate="2024-06-21T00:00:00" maxDate="2024-06-29T00:00:00"/>
    </cacheField>
    <cacheField name="Transport O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Telfer"/>
    <s v="Ensuite Motelling"/>
    <s v="046/12"/>
    <x v="0"/>
    <s v="Alcuizar, Edson"/>
    <s v="90130080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Ensuite Motelling"/>
    <s v="048/07"/>
    <x v="0"/>
    <s v="Baguio, Ramil"/>
    <s v="90037615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Back to Back"/>
    <s v="105/02"/>
    <x v="0"/>
    <s v="Baldock, Grant"/>
    <s v="19914"/>
    <s v="MT - Reliability"/>
    <s v="NEWCREST MINING LIMITED"/>
    <x v="1"/>
    <s v="Dean Larsen"/>
    <s v="9158 6448"/>
    <d v="2024-06-14T00:00:00"/>
    <s v="QQ870 FRI 1 0630 PER 0835 TEF"/>
    <d v="2024-06-21T00:00:00"/>
    <s v="QQ877 FRI 1 1600 TEF 1810 PER"/>
  </r>
  <r>
    <s v="Telfer"/>
    <s v="Back to Back"/>
    <s v="122/13"/>
    <x v="0"/>
    <s v="Biljabu, Jaydin"/>
    <s v="20385"/>
    <s v="MT - Mill Maintenance"/>
    <s v="NEWCREST MINING LIMITED"/>
    <x v="1"/>
    <s v="Warren Triplett"/>
    <s v="9158 6448"/>
    <d v="2024-06-19T00:00:00"/>
    <s v="Car 0600 DRV 0600 DRV"/>
    <d v="2024-06-27T00:00:00"/>
    <s v="Car 1800 DRV 1800 DRV"/>
  </r>
  <r>
    <s v="Telfer"/>
    <s v="Back to Back"/>
    <s v="121/21"/>
    <x v="0"/>
    <s v="Blacker, Robert"/>
    <s v="90004837"/>
    <s v="MT - Scaffolding"/>
    <s v="SMS GROUP SERVICES"/>
    <x v="2"/>
    <s v="Wade McNally"/>
    <s v="0409 275 423"/>
    <d v="2024-06-21T00:00:00"/>
    <s v="QQ870 FRI 1 0630 PER 0835 TEF"/>
    <d v="2024-06-28T00:00:00"/>
    <s v="QQ877 FRI 1 1600 TEF 1810 PER"/>
  </r>
  <r>
    <s v="Telfer"/>
    <s v="Back to Back"/>
    <s v="124/12"/>
    <x v="0"/>
    <s v="Blackman, Jamie"/>
    <s v="90117936"/>
    <s v="MT - Cranes"/>
    <s v="BOOM LOGISTICS LTD"/>
    <x v="2"/>
    <s v="Jacinta Dufall"/>
    <s v="0457253455"/>
    <d v="2024-06-21T00:00:00"/>
    <s v="QQ870 FRI 1 0630 PER 0835 TEF"/>
    <d v="2024-06-28T00:00:00"/>
    <s v="QQ877 FRI 1 1600 TEF 1810 PER"/>
  </r>
  <r>
    <s v="Telfer"/>
    <s v="Ensuite Motelling"/>
    <s v="049/17"/>
    <x v="0"/>
    <s v="Burton, Anthony"/>
    <s v="90075285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Ensuite Motelling"/>
    <s v="051/23"/>
    <x v="1"/>
    <s v="Canham, Charles"/>
    <s v="90127978"/>
    <s v="MT - Mill Maintenance"/>
    <s v="BOOM LOGISTICS LTD"/>
    <x v="0"/>
    <s v="Jason Madden"/>
    <s v="+61 8 9158 6377"/>
    <d v="2024-06-06T00:00:00"/>
    <s v="Car 0600 DRV 0600 DRV"/>
    <d v="2024-06-21T00:00:00"/>
    <s v="Car 0600 DRV 0600 DRV"/>
  </r>
  <r>
    <s v="Telfer"/>
    <s v="Back to Back"/>
    <s v="105/04"/>
    <x v="2"/>
    <s v="Castle, Jason"/>
    <s v="11356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  <r>
    <s v="Telfer"/>
    <s v="Back to Back"/>
    <s v="124/23"/>
    <x v="0"/>
    <s v="Chase, Nicholas"/>
    <s v="23328"/>
    <s v="MT - Reliability"/>
    <s v="NEWCREST MINING LIMITED"/>
    <x v="1"/>
    <s v="Dean Larsen"/>
    <s v="9158 6448"/>
    <d v="2024-06-17T00:00:00"/>
    <s v="QQ870 MON 1 0630 PER 0835 TEF"/>
    <d v="2024-06-24T00:00:00"/>
    <s v="QQ877 MON 1 1600 TEF 1810 PER"/>
  </r>
  <r>
    <s v="Telfer"/>
    <s v="Back to Back"/>
    <s v="104/12"/>
    <x v="0"/>
    <s v="Chong, Soon"/>
    <s v="23904"/>
    <s v="MT - Reliability"/>
    <s v="NEWCREST MINING LIMITED"/>
    <x v="1"/>
    <s v="Ivan Wong"/>
    <s v="9158 6448"/>
    <d v="2024-06-21T00:00:00"/>
    <s v="QQ870 FRI 1 0630 PER 0835 TEF"/>
    <d v="2024-06-28T00:00:00"/>
    <s v="QQ877 FRI 1 1600 TEF 1810 PER"/>
  </r>
  <r>
    <s v="Telfer"/>
    <s v="Ensuite Motelling"/>
    <s v="046/22"/>
    <x v="0"/>
    <s v="Churchill, Daniel"/>
    <s v="90131289"/>
    <s v="MT - Cranes"/>
    <s v="BOOM LOGISTICS LTD"/>
    <x v="2"/>
    <s v="Mark Neville"/>
    <s v="0419444737"/>
    <d v="2024-06-17T00:00:00"/>
    <s v="Car 0600 DRV 0600 DRV"/>
    <d v="2024-06-21T00:00:00"/>
    <s v="Car 1800 DRV 1800 DRV"/>
  </r>
  <r>
    <s v="Telfer"/>
    <s v="Back to Back"/>
    <s v="054/15"/>
    <x v="0"/>
    <s v="Corkill, Paul"/>
    <s v="90005210"/>
    <s v="MT - Scaffolding"/>
    <s v="SMS GROUP SERVICES"/>
    <x v="2"/>
    <s v="Wade McNally"/>
    <s v="0409 275 423"/>
    <d v="2024-06-21T00:00:00"/>
    <s v="QQ870 FRI 1 0630 PER 0835 TEF"/>
    <d v="2024-06-28T00:00:00"/>
    <s v="QQ877 FRI 1 1600 TEF 1810 PER"/>
  </r>
  <r>
    <s v="Telfer"/>
    <s v="Ensuite Motelling"/>
    <s v="048/15"/>
    <x v="0"/>
    <s v="Dalton, Ricky"/>
    <s v="90134023"/>
    <s v="MT - Mill Maintenance Temp Labour"/>
    <s v="TECHNICAL MAINTENANCE SUPPORT (TMS)"/>
    <x v="0"/>
    <s v="Jason Madden"/>
    <s v="+61 8 9158 6377"/>
    <d v="2024-06-11T00:00:00"/>
    <s v="QQ870 TUE 1 0630 PER 0835 TEF"/>
    <d v="2024-06-24T00:00:00"/>
    <s v="QQ841 MON 2 1505 TEF 1720 PER"/>
  </r>
  <r>
    <s v="Telfer"/>
    <s v="Back to Back"/>
    <s v="109/11"/>
    <x v="0"/>
    <s v="Daunt, Keenan"/>
    <s v="24781"/>
    <s v="MT - Mill Maintenance"/>
    <s v="NEWCREST MINING LIMITED"/>
    <x v="1"/>
    <s v="Warren Triplett"/>
    <s v="0459873520"/>
    <d v="2024-06-20T00:00:00"/>
    <s v="QQ870 THU 1 0630 PER 0835 TEF"/>
    <d v="2024-06-27T00:00:00"/>
    <s v="QQ879 THU 2 1720 TEF 1930 PER"/>
  </r>
  <r>
    <s v="Telfer"/>
    <s v="Back to Back"/>
    <s v="133/05"/>
    <x v="0"/>
    <s v="Dempster, Roger"/>
    <s v="21158"/>
    <s v="MT - Mill Maintenance"/>
    <s v="NEWCREST MINING LIMITED"/>
    <x v="1"/>
    <s v="Warren Triplett"/>
    <s v="9158 6448"/>
    <d v="2024-06-20T00:00:00"/>
    <s v="QQ870 THU 1 0630 PER 0835 TEF"/>
    <d v="2024-06-27T00:00:00"/>
    <s v="QQ879 THU 2 1720 TEF 1930 PER"/>
  </r>
  <r>
    <s v="Telfer"/>
    <s v="Back to Back"/>
    <s v="056/16"/>
    <x v="0"/>
    <s v="Eastman, Brian"/>
    <s v="22293"/>
    <s v="MT - Mill Maintenance"/>
    <s v="NEWCREST MINING LIMITED"/>
    <x v="1"/>
    <s v="Bradley Fussell"/>
    <s v="9158 6448"/>
    <d v="2024-06-20T00:00:00"/>
    <s v="QQ870 THU 1 0630 PER 0835 TEF"/>
    <d v="2024-06-27T00:00:00"/>
    <s v="QQ879 THU 2 1720 TEF 1930 PER"/>
  </r>
  <r>
    <s v="Telfer"/>
    <s v="Ensuite Motelling"/>
    <s v="048/10"/>
    <x v="0"/>
    <s v="Eaton, Brodie"/>
    <s v="90070857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31/05"/>
    <x v="0"/>
    <s v="Edwards, Lachlan"/>
    <s v="24578"/>
    <s v="MT - Reliability"/>
    <s v="NEWCREST MINING LIMITED"/>
    <x v="1"/>
    <s v="Anton Akulinkin"/>
    <s v="0403787178"/>
    <d v="2024-06-17T00:00:00"/>
    <s v="QQ870 MON 1 0630 PER 0835 TEF"/>
    <d v="2024-06-24T00:00:00"/>
    <s v="QQ877 MON 1 1600 TEF 1810 PER"/>
  </r>
  <r>
    <s v="Telfer"/>
    <s v="Ensuite Motelling"/>
    <s v="049/19"/>
    <x v="0"/>
    <s v="Eylward, Rhett"/>
    <s v="90074908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24/19"/>
    <x v="0"/>
    <s v="Fraser, Alan"/>
    <s v="11141"/>
    <s v="MT - Mill Maintenance"/>
    <s v="NEWCREST MINING LIMITED"/>
    <x v="1"/>
    <s v="Warren Triplett"/>
    <s v="9158 6448"/>
    <d v="2024-06-20T00:00:00"/>
    <s v="QQ870 THU 1 0630 PER 0835 TEF"/>
    <d v="2024-06-27T00:00:00"/>
    <s v="QQ879 THU 2 1720 TEF 1930 PER"/>
  </r>
  <r>
    <s v="Telfer"/>
    <s v="Back to Back"/>
    <s v="103/01"/>
    <x v="0"/>
    <s v="Fullwood, Stephen"/>
    <s v="22240"/>
    <s v="MT - Mill Maintenance"/>
    <s v="NEWCREST MINING LIMITED"/>
    <x v="1"/>
    <s v="Simon Sheehan"/>
    <s v="9158 6448"/>
    <d v="2024-06-20T00:00:00"/>
    <s v="QQ870 THU 1 0630 PER 0835 TEF"/>
    <d v="2024-06-27T00:00:00"/>
    <s v="QQ879 THU 2 1720 TEF 1930 PER"/>
  </r>
  <r>
    <s v="Telfer"/>
    <s v="Back to Back"/>
    <s v="099/05"/>
    <x v="0"/>
    <s v="Fussell, Bradley"/>
    <s v="5480"/>
    <s v="MT - Mill Maintenance"/>
    <s v="NEWCREST MINING LIMITED"/>
    <x v="1"/>
    <s v="Jason Madden / Wade McNally"/>
    <s v="9158 6448"/>
    <d v="2024-06-19T00:00:00"/>
    <s v="QQ870 WED 1 0630 PER 0835 TEF"/>
    <d v="2024-06-26T00:00:00"/>
    <s v="QQ879 WED 2 1720 TEF 1930 PER"/>
  </r>
  <r>
    <s v="Telfer"/>
    <s v="Back to Back"/>
    <s v="122/08"/>
    <x v="0"/>
    <s v="Gell, Anthony"/>
    <s v="90120366"/>
    <s v="MT - Mill Maintenance Replacement Labour Hire"/>
    <s v="COATES HIRE"/>
    <x v="3"/>
    <s v="Michael Menzies"/>
    <s v="0405448879"/>
    <d v="2024-06-20T00:00:00"/>
    <s v="QQ870 THU 1 0630 PER 0835 TEF"/>
    <d v="2024-06-27T00:00:00"/>
    <s v="QQ879 THU 2 1720 TEF 1930 PER"/>
  </r>
  <r>
    <s v="Telfer"/>
    <s v="Deluxe Garden View"/>
    <s v="073/09"/>
    <x v="0"/>
    <s v="Georgel, Dion"/>
    <s v="22153"/>
    <s v="MT - Planning"/>
    <s v="NEWCREST MINING LIMITED"/>
    <x v="1"/>
    <s v="Alistair Baker"/>
    <s v="9158 6448"/>
    <d v="2024-06-19T00:00:00"/>
    <s v="QQ870 WED 1 0630 PER 0835 TEF"/>
    <d v="2024-06-26T00:00:00"/>
    <s v="QQ879 WED 2 1720 TEF 1930 PER"/>
  </r>
  <r>
    <s v="Telfer"/>
    <s v="Back to Back"/>
    <s v="121/10"/>
    <x v="0"/>
    <s v="Harris, Jack"/>
    <s v="90130551"/>
    <s v="MT - Cranes"/>
    <s v="BOOM LOGISTICS LTD"/>
    <x v="2"/>
    <s v="Mark Neville"/>
    <s v="0419444737"/>
    <d v="2024-06-21T00:00:00"/>
    <s v="QQ870 FRI 1 0630 PER 0835 TEF"/>
    <d v="2024-06-28T00:00:00"/>
    <s v="QQ877 FRI 1 1600 TEF 1810 PER"/>
  </r>
  <r>
    <s v="Telfer"/>
    <s v="Ensuite Motelling"/>
    <s v="049/03"/>
    <x v="0"/>
    <s v="Hay, Shaquille"/>
    <s v="90101753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Back to Back"/>
    <s v="127/11"/>
    <x v="0"/>
    <s v="Hayward, Toby"/>
    <s v="19573"/>
    <s v="MT - Mill Maintenance"/>
    <s v="NEWCREST MINING LIMITED"/>
    <x v="1"/>
    <s v="Warren Triplett"/>
    <s v="9158 6448"/>
    <d v="2024-06-20T00:00:00"/>
    <s v="QQ870 THU 1 0630 PER 0835 TEF"/>
    <d v="2024-06-27T00:00:00"/>
    <s v="QQ879 THU 2 1720 TEF 1930 PER"/>
  </r>
  <r>
    <s v="Telfer"/>
    <s v="Back to Back"/>
    <s v="063/04"/>
    <x v="2"/>
    <s v="Hermosa, Arlan"/>
    <s v="20388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  <r>
    <s v="Telfer"/>
    <s v="Back to Back"/>
    <s v="105/02"/>
    <x v="0"/>
    <s v="Hirama, Hohepa"/>
    <s v="90128099"/>
    <s v="MT - Scaffolding"/>
    <s v="SMS GROUP SERVICES"/>
    <x v="2"/>
    <s v="Wade McNally"/>
    <s v="0409 275 423"/>
    <d v="2024-06-21T00:00:00"/>
    <s v="QQ870 FRI 1 0630 PER 0835 TEF"/>
    <d v="2024-06-28T00:00:00"/>
    <s v="QQ877 FRI 1 1600 TEF 1810 PER"/>
  </r>
  <r>
    <s v="Telfer"/>
    <s v="Back to Back"/>
    <s v="108/03"/>
    <x v="2"/>
    <s v="Howard, Mick"/>
    <s v="19783"/>
    <s v="MT - Mill Maintenance"/>
    <s v="NEWCREST MINING LIMITED"/>
    <x v="1"/>
    <s v="Simon Sheehan"/>
    <s v="9158 6448"/>
    <d v="2024-06-20T00:00:00"/>
    <s v="QQ878 THU 2 1420 PER 1630 TEF"/>
    <d v="2024-06-27T00:00:00"/>
    <s v="QQ871 THU 1 0930 TEF 1140 PER"/>
  </r>
  <r>
    <s v="Telfer"/>
    <s v="Back to Back"/>
    <s v="057/05"/>
    <x v="0"/>
    <s v="Ingle, Jarrod"/>
    <s v="24065"/>
    <s v="MT - Mill Maintenance"/>
    <s v="NEWCREST MINING LIMITED"/>
    <x v="1"/>
    <s v="Warren Tripplett"/>
    <s v="0459873520"/>
    <d v="2024-06-20T00:00:00"/>
    <s v="QQ870 THU 1 0630 PER 0835 TEF"/>
    <d v="2024-06-27T00:00:00"/>
    <s v="QQ879 THU 2 1720 TEF 1930 PER"/>
  </r>
  <r>
    <s v="Telfer"/>
    <s v="Back to Back"/>
    <s v="124/22"/>
    <x v="0"/>
    <s v="Isard, Philippe"/>
    <s v="19133"/>
    <s v="MT - Mill Maintenance"/>
    <s v="NEWCREST MINING LIMITED"/>
    <x v="1"/>
    <s v="Jason Madden / Wade McNally"/>
    <s v="9158 6448"/>
    <d v="2024-06-20T00:00:00"/>
    <s v="QQ870 THU 1 0630 PER 0835 TEF"/>
    <d v="2024-06-27T00:00:00"/>
    <s v="QQ879 THU 2 1720 TEF 1930 PER"/>
  </r>
  <r>
    <s v="Telfer"/>
    <s v="Back to Back"/>
    <s v="125/02"/>
    <x v="0"/>
    <s v="Jones, Cameron"/>
    <s v="90118868"/>
    <s v="MT - Conveyor Services"/>
    <s v="MINPROVISE INTERNATIONAL PTY LTD"/>
    <x v="0"/>
    <s v="Trent Donges"/>
    <s v="0427876723"/>
    <d v="2024-06-21T00:00:00"/>
    <s v="QQ870 FRI 1 0630 PER 0835 TEF"/>
    <d v="2024-06-28T00:00:00"/>
    <s v="QQ877 FRI 1 1600 TEF 1810 PER"/>
  </r>
  <r>
    <s v="Telfer"/>
    <s v="Back to Back"/>
    <s v="101/09"/>
    <x v="0"/>
    <s v="Jury, Mark"/>
    <s v="3737"/>
    <s v="MT - Planning"/>
    <s v="NEWCREST MINING LIMITED"/>
    <x v="1"/>
    <s v="William Madeley"/>
    <s v="9158 6448"/>
    <d v="2024-06-17T00:00:00"/>
    <s v="QQ870 MON 1 0630 PER 0835 TEF"/>
    <d v="2024-06-24T00:00:00"/>
    <s v="QQ877 MON 1 1600 TEF 1810 PER"/>
  </r>
  <r>
    <s v="Telfer"/>
    <s v="Back to Back"/>
    <s v="125/23"/>
    <x v="2"/>
    <s v="Keown, Michael"/>
    <s v="23797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  <r>
    <s v="Telfer"/>
    <s v="Ensuite Motelling"/>
    <s v="051/07"/>
    <x v="0"/>
    <s v="Lim, Taecheol"/>
    <s v="90134163"/>
    <s v="MT - Mill Maintenance Temp Labour"/>
    <s v="TECHNICAL MAINTENANCE SUPPORT (TMS)"/>
    <x v="0"/>
    <s v="Jason Madden"/>
    <s v="+61 8 9158 6377"/>
    <d v="2024-06-18T00:00:00"/>
    <s v="QQ870 TUE 1 0630 PER 0835 TEF"/>
    <d v="2024-06-24T00:00:00"/>
    <s v="QQ841 MON 2 1505 TEF 1720 PER"/>
  </r>
  <r>
    <s v="Telfer"/>
    <s v="Back to Back"/>
    <s v="061/05"/>
    <x v="0"/>
    <s v="Macapili, Edgar"/>
    <s v="24373"/>
    <s v="MT - Reliability"/>
    <s v="NEWCREST MINING LIMITED"/>
    <x v="1"/>
    <s v="Ivan Wong"/>
    <s v="0418411122"/>
    <d v="2024-06-21T00:00:00"/>
    <s v="QQ870 FRI 1 0630 PER 0835 TEF"/>
    <d v="2024-06-27T00:00:00"/>
    <s v="QQ879 THU 2 1720 TEF 1930 PER"/>
  </r>
  <r>
    <s v="Telfer"/>
    <s v="Back to Back"/>
    <s v="101/11"/>
    <x v="0"/>
    <s v="Mahan, Reza"/>
    <s v="90046215"/>
    <s v="MT - Mill Maintenance Replacement Labour Hire"/>
    <s v="TECHFORCE PERSONNEL PTY LTD"/>
    <x v="3"/>
    <s v="Warren Triplett"/>
    <s v="0401 273 744"/>
    <d v="2024-06-20T00:00:00"/>
    <s v="QQ870 THU 1 0630 PER 0835 TEF"/>
    <d v="2024-06-27T00:00:00"/>
    <s v="QQ879 THU 2 1720 TEF 1930 PER"/>
  </r>
  <r>
    <s v="Telfer"/>
    <s v="Back to Back"/>
    <s v="064/08"/>
    <x v="0"/>
    <s v="Maniapoto, Dion"/>
    <s v="20898"/>
    <s v="MT - Mill Maintenance"/>
    <s v="NEWCREST MINING LIMITED"/>
    <x v="1"/>
    <s v="Jason Madden / Wade McNally"/>
    <s v="9158 6448"/>
    <d v="2024-06-20T00:00:00"/>
    <s v="QQ870 THU 1 0630 PER 0835 TEF"/>
    <d v="2024-06-27T00:00:00"/>
    <s v="QQ879 THU 2 1720 TEF 1930 PER"/>
  </r>
  <r>
    <s v="Telfer"/>
    <s v="Back to Back"/>
    <s v="102/04"/>
    <x v="0"/>
    <s v="McGougan, Archie"/>
    <s v="90131908"/>
    <s v="MT - Conveyor Services"/>
    <s v="MINPROVISE INTERNATIONAL PTY LTD"/>
    <x v="2"/>
    <s v="Trent Donges"/>
    <s v="0427876723"/>
    <d v="2024-06-21T00:00:00"/>
    <s v="QQ870 FRI 1 0630 PER 0835 TEF"/>
    <d v="2024-06-28T00:00:00"/>
    <s v="QQ877 FRI 1 1600 TEF 1810 PER"/>
  </r>
  <r>
    <s v="Telfer"/>
    <s v="Back to Back"/>
    <s v="124/12"/>
    <x v="0"/>
    <s v="McGregor, Shannon"/>
    <s v="90112330"/>
    <s v="MT - Cranes"/>
    <s v="BOOM LOGISTICS LTD"/>
    <x v="2"/>
    <s v="Jacinta Dufall"/>
    <s v="0457253455"/>
    <d v="2024-06-17T00:00:00"/>
    <s v="QQ870 MON 1 0630 PER 0835 TEF"/>
    <d v="2024-06-21T00:00:00"/>
    <s v="QQ877 FRI 1 1600 TEF 1810 PER"/>
  </r>
  <r>
    <s v="Telfer"/>
    <s v="Single Ensuite"/>
    <s v="147/03"/>
    <x v="0"/>
    <s v="McNally, Wade"/>
    <s v="10793"/>
    <s v="MT - Mill Maintenance"/>
    <s v="NEWCREST MINING LIMITED"/>
    <x v="1"/>
    <s v="Dean Larsen"/>
    <s v="9158 6298"/>
    <d v="2024-06-19T00:00:00"/>
    <s v="QQ870 WED 1 0630 PER 0835 TEF"/>
    <d v="2024-06-28T00:00:00"/>
    <s v="QQ877 FRI 1 1600 TEF 1810 PER"/>
  </r>
  <r>
    <s v="Telfer"/>
    <s v="Back to Back"/>
    <s v="099/12"/>
    <x v="0"/>
    <s v="McQuarrie, Timothy"/>
    <s v="16026"/>
    <s v="MT - Planning"/>
    <s v="NEWCREST MINING LIMITED"/>
    <x v="1"/>
    <s v="William Madeley"/>
    <s v="9158 6448"/>
    <d v="2024-06-17T00:00:00"/>
    <s v="QQ870 MON 1 0630 PER 0835 TEF"/>
    <d v="2024-06-24T00:00:00"/>
    <s v="QQ877 MON 1 1600 TEF 1810 PER"/>
  </r>
  <r>
    <s v="Telfer"/>
    <s v="Single Ensuite"/>
    <s v="109/07"/>
    <x v="0"/>
    <s v="Mitchell, Cheynne"/>
    <s v="90061866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21/22"/>
    <x v="0"/>
    <s v="Murphy, Matthew"/>
    <s v="23234"/>
    <s v="MT - Reliability"/>
    <s v="NEWCREST MINING LIMITED"/>
    <x v="1"/>
    <s v="Cooper Jeffery"/>
    <s v="0458 103 404"/>
    <d v="2024-06-17T00:00:00"/>
    <s v="QQ870 MON 1 0630 PER 0835 TEF"/>
    <d v="2024-06-24T00:00:00"/>
    <s v="QQ877 MON 1 1600 TEF 1810 PER"/>
  </r>
  <r>
    <s v="Telfer"/>
    <s v="Ensuite Motelling"/>
    <s v="047/22"/>
    <x v="0"/>
    <s v="Murray, Reece"/>
    <s v="90009868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23/09"/>
    <x v="0"/>
    <s v="Nattriss, Harry"/>
    <s v="22560"/>
    <s v="MT - Mill Maintenance"/>
    <s v="NEWCREST MINING LIMITED"/>
    <x v="1"/>
    <s v="Jason Madden / Wade McNally"/>
    <s v="9158 6448"/>
    <d v="2024-06-21T00:00:00"/>
    <s v="QQ870 FRI 1 0630 PER 0835 TEF"/>
    <d v="2024-06-27T00:00:00"/>
    <s v="QQ879 THU 2 1720 TEF 1930 PER"/>
  </r>
  <r>
    <s v="Telfer"/>
    <s v="Ensuite Motelling"/>
    <s v="046/14"/>
    <x v="0"/>
    <s v="Navales, Renato"/>
    <s v="90131405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05/01"/>
    <x v="2"/>
    <s v="Neville, Mark"/>
    <s v="4953"/>
    <s v="MT - Mill Maintenance"/>
    <s v="NEWCREST MINING LIMITED"/>
    <x v="1"/>
    <s v="Jason Madden / Wade McNally"/>
    <s v="9158 6448"/>
    <d v="2024-06-19T00:00:00"/>
    <s v="QQ878 WED 2 1420 PER 1630 TEF"/>
    <d v="2024-06-26T00:00:00"/>
    <s v="QQ871 WED 1 0930 TEF 1140 PER"/>
  </r>
  <r>
    <s v="Telfer"/>
    <s v="Back to Back B50 B107 B135 B88"/>
    <s v="135/12"/>
    <x v="0"/>
    <s v="Newman, Bella"/>
    <s v="90117684"/>
    <s v="MT - Mill Maintenance Replacement Labour Hire"/>
    <s v="HAYS PERSONNEL SERVICES"/>
    <x v="3"/>
    <s v="Wade McNally"/>
    <s v="0409 275   423"/>
    <d v="2024-06-14T00:00:00"/>
    <s v="QQ870 FRI 1 0630 PER 0835 TEF"/>
    <d v="2024-06-21T00:00:00"/>
    <s v="QQ877 FRI 1 1600 TEF 1810 PER"/>
  </r>
  <r>
    <s v="Telfer"/>
    <s v="Ensuite Motelling"/>
    <s v="048/06"/>
    <x v="0"/>
    <s v="Nopueto, Neil"/>
    <s v="90130081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02/15"/>
    <x v="2"/>
    <s v="Obeyesekere, Dinesh"/>
    <s v="20453"/>
    <s v="MT - Mill Maintenance"/>
    <s v="NEWCREST MINING LIMITED"/>
    <x v="1"/>
    <s v="Mark Neville"/>
    <s v="9158 6448"/>
    <d v="2024-06-20T00:00:00"/>
    <s v="QQ878 THU 2 1420 PER 1630 TEF"/>
    <d v="2024-06-26T00:00:00"/>
    <s v="QQ871 WED 1 0930 TEF 1140 PER"/>
  </r>
  <r>
    <s v="Telfer"/>
    <s v="Ensuite Motelling"/>
    <s v="048/05"/>
    <x v="0"/>
    <s v="O'Driscoll, Rixon"/>
    <s v="90123864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Ensuite Motelling"/>
    <s v="049/15"/>
    <x v="0"/>
    <s v="Ola, Rolando"/>
    <s v="90128939"/>
    <s v="MT - Surface Major Maintenance"/>
    <s v="APMS OPERATIONS AUSTRALIA PTY LTD"/>
    <x v="0"/>
    <s v="Jason Madden"/>
    <s v="+61 8 9158 6377"/>
    <d v="2024-06-11T00:00:00"/>
    <s v="QQ878 TUE 2 1420 PER 1630 TEF"/>
    <d v="2024-06-25T00:00:00"/>
    <s v="QQ879 TUE 2 1720 TEF 1930 PER"/>
  </r>
  <r>
    <s v="Telfer"/>
    <s v="Back to Back"/>
    <s v="121/21"/>
    <x v="0"/>
    <s v="Parrott, Kevin"/>
    <s v="90101732"/>
    <s v="MT - Scaffolding"/>
    <s v="SMS GROUP SERVICES"/>
    <x v="2"/>
    <s v="Wade McNally"/>
    <s v="0409 275 423"/>
    <d v="2024-06-14T00:00:00"/>
    <s v="QQ870 FRI 1 0630 PER 0835 TEF"/>
    <d v="2024-06-21T00:00:00"/>
    <s v="QQ877 FRI 1 1600 TEF 1810 PER"/>
  </r>
  <r>
    <s v="Telfer"/>
    <s v="Back to Back"/>
    <s v="054/15"/>
    <x v="0"/>
    <s v="Pompey, Casey"/>
    <s v="90009894"/>
    <s v="MT - Scaffolding"/>
    <s v="SMS GROUP SERVICES"/>
    <x v="2"/>
    <s v="Wade McNally"/>
    <s v="0409 275 423"/>
    <d v="2024-06-14T00:00:00"/>
    <s v="QQ870 FRI 1 0630 PER 0835 TEF"/>
    <d v="2024-06-21T00:00:00"/>
    <s v="QQ877 FRI 1 1600 TEF 1810 PER"/>
  </r>
  <r>
    <s v="Telfer"/>
    <s v="Back to Back"/>
    <s v="104/12"/>
    <x v="0"/>
    <s v="Pondaag, Onesimus"/>
    <s v="5320"/>
    <s v="MT - Reliability"/>
    <s v="NEWCREST MINING LIMITED"/>
    <x v="1"/>
    <s v="Andrew Hodgson"/>
    <s v="9158 6448"/>
    <d v="2024-06-17T00:00:00"/>
    <s v="QQ870 MON 1 0630 PER 0835 TEF"/>
    <d v="2024-06-21T00:00:00"/>
    <s v="QQ877 FRI 1 1600 TEF 1810 PER"/>
  </r>
  <r>
    <s v="Telfer"/>
    <s v="Back to Back"/>
    <s v="125/01"/>
    <x v="0"/>
    <s v="Roberts, Dion"/>
    <s v="90128632"/>
    <s v="MT - Planning Replacement Labour Hire"/>
    <s v="CHANDLER MACLEOD GROUP LIMITED"/>
    <x v="3"/>
    <s v="Dion Georgel"/>
    <s v="0400491652"/>
    <d v="2024-06-17T00:00:00"/>
    <s v="QQ870 MON 1 0630 PER 0835 TEF"/>
    <d v="2024-06-24T00:00:00"/>
    <s v="QQ841 MON 2 1505 TEF 1720 PER"/>
  </r>
  <r>
    <s v="Telfer"/>
    <s v="Ensuite Motelling"/>
    <s v="048/09"/>
    <x v="0"/>
    <s v="Robinson, Mark"/>
    <s v="90053090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Back to Back"/>
    <s v="105/06"/>
    <x v="0"/>
    <s v="Ryan, Alan"/>
    <s v="90128100"/>
    <s v="MT - Scaffolding"/>
    <s v="SMS GROUP SERVICES"/>
    <x v="2"/>
    <s v="Wade McNally"/>
    <s v="0409 275 423"/>
    <d v="2024-06-21T00:00:00"/>
    <s v="QQ870 FRI 1 0630 PER 0835 TEF"/>
    <d v="2024-06-28T00:00:00"/>
    <s v="QQ877 FRI 1 1600 TEF 1810 PER"/>
  </r>
  <r>
    <s v="Telfer"/>
    <s v="Back to Back"/>
    <s v="101/15"/>
    <x v="0"/>
    <s v="Shields, Rob"/>
    <s v="22388"/>
    <s v="MT - Mill Maintenance"/>
    <s v="NEWCREST MINING LIMITED"/>
    <x v="1"/>
    <s v="Warren Triplett"/>
    <s v="9158 6448"/>
    <d v="2024-06-20T00:00:00"/>
    <s v="QQ870 THU 1 0630 PER 0835 TEF"/>
    <d v="2024-06-27T00:00:00"/>
    <s v="QQ879 THU 2 1720 TEF 1930 PER"/>
  </r>
  <r>
    <s v="Telfer"/>
    <s v="Back to Back"/>
    <s v="054/08"/>
    <x v="0"/>
    <s v="Simcock, Brendan"/>
    <s v="19956"/>
    <s v="MT - Planning"/>
    <s v="NEWCREST MINING LIMITED"/>
    <x v="1"/>
    <s v="Alistair Baker"/>
    <s v="9158 6448"/>
    <d v="2024-06-17T00:00:00"/>
    <s v="QQ870 MON 1 0630 PER 0835 TEF"/>
    <d v="2024-06-24T00:00:00"/>
    <s v="QQ877 MON 1 1600 TEF 1810 PER"/>
  </r>
  <r>
    <s v="Telfer"/>
    <s v="Back to Back"/>
    <s v="103/09"/>
    <x v="2"/>
    <s v="Smith, Paul G"/>
    <s v="15734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  <r>
    <s v="Telfer"/>
    <s v="Back to Back"/>
    <s v="104/07"/>
    <x v="2"/>
    <s v="Smith, Shaun"/>
    <s v="19829"/>
    <s v="MT - Mill Maintenance"/>
    <s v="NEWCREST MINING LIMITED"/>
    <x v="1"/>
    <s v="Benjamin Harmsworth"/>
    <s v="9158 6448"/>
    <d v="2024-06-21T00:00:00"/>
    <s v="QQ870 FRI 1 0630 PER 0835 TEF"/>
    <d v="2024-06-26T00:00:00"/>
    <s v="QQ871 WED 1 0930 TEF 1140 PER"/>
  </r>
  <r>
    <s v="Telfer"/>
    <s v="Ensuite Motelling"/>
    <s v="048/02"/>
    <x v="0"/>
    <s v="Suckling, Kim"/>
    <s v="90057249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Back to Back"/>
    <s v="126/13"/>
    <x v="0"/>
    <s v="Sugget, Gordon"/>
    <s v="6196"/>
    <s v="MT - Mill Maintenance"/>
    <s v="NEWCREST MINING LIMITED"/>
    <x v="1"/>
    <s v="Jason Madden / Wade McNally"/>
    <s v="9158 6448"/>
    <d v="2024-06-20T00:00:00"/>
    <s v="QQ870 THU 1 0630 PER 0835 TEF"/>
    <d v="2024-06-27T00:00:00"/>
    <s v="QQ879 THU 2 1720 TEF 1930 PER"/>
  </r>
  <r>
    <s v="Telfer"/>
    <s v="Back to Back"/>
    <s v="121/17"/>
    <x v="0"/>
    <s v="Sujono, Ilya"/>
    <s v="24410"/>
    <s v="MT - Reliability"/>
    <s v="NEWCREST MINING LIMITED"/>
    <x v="1"/>
    <s v="Ruben Quispe"/>
    <s v="0452206597"/>
    <d v="2024-06-17T00:00:00"/>
    <s v="QQ870 MON 1 0630 PER 0835 TEF"/>
    <d v="2024-06-24T00:00:00"/>
    <s v="QQ877 MON 1 1600 TEF 1810 PER"/>
  </r>
  <r>
    <s v="Telfer"/>
    <s v="Ensuite Motelling"/>
    <s v="051/01"/>
    <x v="0"/>
    <s v="Tarchini, Joel"/>
    <s v="90003219"/>
    <s v="MT - Mill Maintenance Temp Labour"/>
    <s v="TECHNICAL MAINTENANCE SUPPORT (TMS)"/>
    <x v="0"/>
    <s v="Jason Madden"/>
    <s v="+61 8 9158 6377"/>
    <d v="2024-06-10T00:00:00"/>
    <s v="QQ870 MON 1 0630 PER 0835 TEF"/>
    <d v="2024-06-24T00:00:00"/>
    <s v="QQ841 MON 2 1505 TEF 1720 PER"/>
  </r>
  <r>
    <s v="Telfer"/>
    <s v="Couples Single Ensuite"/>
    <s v="126/01"/>
    <x v="0"/>
    <s v="Tate, Eleatha"/>
    <s v="90117309"/>
    <s v="MT - Conveyor Services"/>
    <s v="MINPROVISE INTERNATIONAL PTY LTD"/>
    <x v="2"/>
    <s v="Trent Donges"/>
    <s v="0427876723"/>
    <d v="2024-06-21T00:00:00"/>
    <s v="QQ870 FRI 1 0630 PER 0835 TEF"/>
    <d v="2024-06-28T00:00:00"/>
    <s v="QQ877 FRI 1 1600 TEF 1810 PER"/>
  </r>
  <r>
    <s v="Telfer"/>
    <s v="Back to Back"/>
    <s v="057/04"/>
    <x v="0"/>
    <s v="Taura, Jeremiah"/>
    <s v="90040292"/>
    <s v="MT - Scaffolding"/>
    <s v="SMS GROUP SERVICES"/>
    <x v="2"/>
    <s v="Wade McNally"/>
    <s v="0409 275 423"/>
    <d v="2024-06-14T00:00:00"/>
    <s v="QQ870 FRI 1 0630 PER 0835 TEF"/>
    <d v="2024-06-21T00:00:00"/>
    <s v="QQ877 FRI 1 1600 TEF 1810 PER"/>
  </r>
  <r>
    <s v="Telfer"/>
    <s v="Back to Back"/>
    <s v="105/06"/>
    <x v="0"/>
    <s v="Tawaka, Russell-Kingi"/>
    <s v="90047222"/>
    <s v="MT - Scaffolding"/>
    <s v="SMS GROUP SERVICES"/>
    <x v="2"/>
    <s v="Wade McNally"/>
    <s v="0409 275 423"/>
    <d v="2024-06-14T00:00:00"/>
    <s v="QQ870 FRI 1 0630 PER 0835 TEF"/>
    <d v="2024-06-21T00:00:00"/>
    <s v="QQ877 FRI 1 1600 TEF 1810 PER"/>
  </r>
  <r>
    <s v="Telfer"/>
    <s v="Back to Back"/>
    <s v="108/11"/>
    <x v="0"/>
    <s v="Triplett, Warren"/>
    <s v="11103"/>
    <s v="MT - Mill Maintenance"/>
    <s v="NEWCREST MINING LIMITED"/>
    <x v="1"/>
    <s v="Jason Madden / Wade McNally"/>
    <s v="9158 6448"/>
    <d v="2024-06-19T00:00:00"/>
    <s v="QQ870 WED 1 0630 PER 0835 TEF"/>
    <d v="2024-06-24T00:00:00"/>
    <s v="QQ877 MON 1 1600 TEF 1810 PER"/>
  </r>
  <r>
    <s v="Telfer"/>
    <s v="Back to Back B50 B107 B135 B88"/>
    <s v="135/12"/>
    <x v="0"/>
    <s v="Valderrama, Sarah"/>
    <s v="24363"/>
    <s v="MT - Mngt/Admin"/>
    <s v="NEWCREST MINING LIMITED"/>
    <x v="1"/>
    <s v="Wade McNally"/>
    <s v="0409275423"/>
    <d v="2024-06-21T00:00:00"/>
    <s v="QQ870 FRI 1 0630 PER 0835 TEF"/>
    <d v="2024-06-28T00:00:00"/>
    <s v="QQ877 FRI 1 1600 TEF 1810 PER"/>
  </r>
  <r>
    <s v="Telfer"/>
    <s v="Back to Back"/>
    <s v="129/08"/>
    <x v="0"/>
    <s v="Van Wyk, Allen"/>
    <s v="90061280"/>
    <s v="MT - Mill Maintenance Replacement Labour Hire"/>
    <s v="GMR SERVICES OP PTY LTD"/>
    <x v="3"/>
    <s v="Jason Madden"/>
    <s v="+61 8 9158 6377"/>
    <d v="2024-06-20T00:00:00"/>
    <s v="QQ870 THU 1 0630 PER 0835 TEF"/>
    <d v="2024-06-27T00:00:00"/>
    <s v="QQ879 THU 2 1720 TEF 1930 PER"/>
  </r>
  <r>
    <s v="Telfer"/>
    <s v="Back to Back"/>
    <s v="103/10"/>
    <x v="2"/>
    <s v="Walker, Curtis"/>
    <s v="23059"/>
    <s v="MT - Mill Maintenance"/>
    <s v="NEWCREST MINING LIMITED"/>
    <x v="1"/>
    <s v="Mark Neville"/>
    <s v="0419 444 737"/>
    <d v="2024-06-21T00:00:00"/>
    <s v="QQ870 FRI 1 0630 PER 0835 TEF"/>
    <d v="2024-06-27T00:00:00"/>
    <s v="QQ871 THU 1 0930 TEF 1140 PER"/>
  </r>
  <r>
    <s v="Telfer"/>
    <s v="Back to Back"/>
    <s v="099/06"/>
    <x v="2"/>
    <s v="Ward, Paul"/>
    <s v="4938"/>
    <s v="MT - Mill Maintenance"/>
    <s v="NEWCREST MINING LIMITED"/>
    <x v="1"/>
    <s v="Simon Sheehan"/>
    <s v="9158 6448"/>
    <d v="2024-06-20T00:00:00"/>
    <s v="QQ878 THU 2 1420 PER 1630 TEF"/>
    <d v="2024-06-27T00:00:00"/>
    <s v="QQ871 THU 1 0930 TEF 1140 PER"/>
  </r>
  <r>
    <s v="Telfer"/>
    <s v="Back to Back"/>
    <s v="122/15"/>
    <x v="0"/>
    <s v="Weichert, Benjamin"/>
    <s v="23211"/>
    <s v="MT - Reliability"/>
    <s v="NEWCREST MINING LIMITED"/>
    <x v="1"/>
    <s v="Anton Akulinkin"/>
    <s v="0403787178"/>
    <d v="2024-06-17T00:00:00"/>
    <s v="QQ870 MON 1 0630 PER 0835 TEF"/>
    <d v="2024-06-24T00:00:00"/>
    <s v="QQ877 MON 1 1600 TEF 1810 PER"/>
  </r>
  <r>
    <s v="Telfer"/>
    <s v="Couples Single Ensuite"/>
    <s v="126/01v"/>
    <x v="0"/>
    <s v="Whittering, David"/>
    <s v="90116535"/>
    <s v="MT - Conveyor Services"/>
    <s v="MINPROVISE INTERNATIONAL PTY LTD"/>
    <x v="2"/>
    <s v="Trent Donges"/>
    <s v="0427876723"/>
    <d v="2024-06-21T00:00:00"/>
    <s v="QQ870 FRI 1 0630 PER 0835 TEF"/>
    <d v="2024-06-28T00:00:00"/>
    <s v="QQ877 FRI 1 1600 TEF 1810 PER"/>
  </r>
  <r>
    <s v="Telfer"/>
    <s v="Back to Back"/>
    <s v="121/12"/>
    <x v="2"/>
    <s v="Wright, Danny"/>
    <s v="18164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  <r>
    <s v="Telfer"/>
    <s v="Back to Back"/>
    <s v="106/05"/>
    <x v="2"/>
    <s v="Wright, Robert"/>
    <s v="4937"/>
    <s v="MT - Mill Maintenance"/>
    <s v="NEWCREST MINING LIMITED"/>
    <x v="1"/>
    <s v="Mark Neville"/>
    <s v="9158 6448"/>
    <d v="2024-06-20T00:00:00"/>
    <s v="QQ878 THU 2 1420 PER 1630 TEF"/>
    <d v="2024-06-27T00:00:00"/>
    <s v="QQ871 THU 1 0930 TEF 1140 P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86D25-7114-44E3-8340-4B808FBCF37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People Type" colHeaderCaption="Shift Status">
  <location ref="A11:E17" firstHeaderRow="1" firstDataRow="2" firstDataCol="1"/>
  <pivotFields count="15">
    <pivotField showAll="0"/>
    <pivotField showAll="0"/>
    <pivotField showAll="0"/>
    <pivotField axis="axisCol" showAll="0">
      <items count="6">
        <item m="1" x="3"/>
        <item m="1" x="4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axis="axisRow" showAll="0">
      <items count="7">
        <item m="1" x="4"/>
        <item m="1" x="5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 v="2"/>
    </i>
    <i>
      <x v="3"/>
    </i>
    <i>
      <x v="4"/>
    </i>
    <i t="grand">
      <x/>
    </i>
  </colItems>
  <dataFields count="1">
    <dataField name="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workbookViewId="0">
      <selection sqref="A1:D1"/>
    </sheetView>
  </sheetViews>
  <sheetFormatPr defaultColWidth="9.1328125" defaultRowHeight="17.100000000000001" customHeight="1" x14ac:dyDescent="0.45"/>
  <cols>
    <col min="1" max="1" width="30.6640625" style="10" customWidth="1"/>
    <col min="2" max="2" width="8" style="10" customWidth="1"/>
    <col min="3" max="4" width="25.6640625" style="10" customWidth="1"/>
    <col min="5" max="6" width="18.6640625" style="10" customWidth="1"/>
    <col min="7" max="7" width="12.6640625" style="10" customWidth="1"/>
    <col min="8" max="8" width="18.6640625" style="10" customWidth="1"/>
    <col min="9" max="193" width="22.6640625" style="10" customWidth="1"/>
    <col min="194" max="16384" width="9.1328125" style="10"/>
  </cols>
  <sheetData>
    <row r="1" spans="1:8" ht="17.100000000000001" customHeight="1" x14ac:dyDescent="0.45">
      <c r="A1" s="41" t="s">
        <v>26</v>
      </c>
      <c r="B1" s="41"/>
      <c r="C1" s="41"/>
      <c r="D1" s="41"/>
      <c r="E1" s="29"/>
      <c r="F1" s="29"/>
      <c r="G1" s="29"/>
      <c r="H1" s="29"/>
    </row>
    <row r="2" spans="1:8" ht="17.100000000000001" customHeight="1" x14ac:dyDescent="0.45">
      <c r="A2" s="42" t="s">
        <v>27</v>
      </c>
      <c r="B2" s="42"/>
      <c r="C2" s="42"/>
      <c r="D2" s="42"/>
      <c r="E2" s="30"/>
      <c r="F2" s="30"/>
      <c r="G2" s="30"/>
      <c r="H2" s="30"/>
    </row>
    <row r="3" spans="1:8" s="31" customFormat="1" ht="17.100000000000001" customHeight="1" x14ac:dyDescent="0.45"/>
    <row r="4" spans="1:8" s="33" customFormat="1" ht="17.100000000000001" customHeight="1" x14ac:dyDescent="0.45">
      <c r="A4" s="43" t="s">
        <v>3</v>
      </c>
      <c r="B4" s="43"/>
      <c r="C4" s="32" t="s">
        <v>21</v>
      </c>
      <c r="D4" s="32" t="s">
        <v>22</v>
      </c>
    </row>
    <row r="5" spans="1:8" s="33" customFormat="1" ht="17.100000000000001" customHeight="1" x14ac:dyDescent="0.45">
      <c r="A5" s="33" t="s">
        <v>28</v>
      </c>
      <c r="C5" s="34"/>
      <c r="D5" s="34"/>
    </row>
    <row r="6" spans="1:8" ht="17.100000000000001" customHeight="1" x14ac:dyDescent="0.45">
      <c r="A6" s="44" t="s">
        <v>29</v>
      </c>
      <c r="B6" s="44"/>
      <c r="C6" s="35">
        <v>4</v>
      </c>
      <c r="D6" s="35">
        <v>4</v>
      </c>
      <c r="E6" s="36"/>
      <c r="F6" s="36"/>
      <c r="G6" s="36"/>
      <c r="H6" s="36"/>
    </row>
    <row r="7" spans="1:8" ht="17.100000000000001" customHeight="1" x14ac:dyDescent="0.45">
      <c r="A7" s="44" t="s">
        <v>30</v>
      </c>
      <c r="B7" s="44"/>
      <c r="C7" s="35">
        <v>4</v>
      </c>
      <c r="D7" s="35">
        <v>2</v>
      </c>
      <c r="E7" s="36"/>
      <c r="F7" s="36"/>
      <c r="G7" s="36"/>
      <c r="H7" s="36"/>
    </row>
    <row r="8" spans="1:8" ht="17.100000000000001" customHeight="1" x14ac:dyDescent="0.45">
      <c r="A8" s="44" t="s">
        <v>31</v>
      </c>
      <c r="B8" s="44"/>
      <c r="C8" s="35">
        <v>29</v>
      </c>
      <c r="D8" s="35">
        <v>28</v>
      </c>
      <c r="E8" s="36"/>
      <c r="F8" s="36"/>
      <c r="G8" s="36"/>
      <c r="H8" s="36"/>
    </row>
    <row r="9" spans="1:8" ht="17.100000000000001" customHeight="1" x14ac:dyDescent="0.45">
      <c r="A9" s="44" t="s">
        <v>32</v>
      </c>
      <c r="B9" s="44"/>
      <c r="C9" s="35">
        <v>4</v>
      </c>
      <c r="D9" s="35">
        <v>3</v>
      </c>
      <c r="E9" s="36"/>
      <c r="F9" s="36"/>
      <c r="G9" s="36"/>
      <c r="H9" s="36"/>
    </row>
    <row r="10" spans="1:8" ht="17.100000000000001" customHeight="1" x14ac:dyDescent="0.45">
      <c r="A10" s="44" t="s">
        <v>33</v>
      </c>
      <c r="B10" s="44"/>
      <c r="C10" s="35">
        <v>8</v>
      </c>
      <c r="D10" s="35">
        <v>8</v>
      </c>
      <c r="E10" s="36"/>
      <c r="F10" s="36"/>
      <c r="G10" s="36"/>
      <c r="H10" s="36"/>
    </row>
    <row r="11" spans="1:8" ht="17.100000000000001" customHeight="1" x14ac:dyDescent="0.45">
      <c r="A11" s="44" t="s">
        <v>34</v>
      </c>
      <c r="B11" s="44"/>
      <c r="C11" s="35">
        <v>1</v>
      </c>
      <c r="D11" s="35">
        <v>1</v>
      </c>
      <c r="E11" s="36"/>
      <c r="F11" s="36"/>
      <c r="G11" s="36"/>
      <c r="H11" s="36"/>
    </row>
    <row r="12" spans="1:8" ht="17.100000000000001" customHeight="1" x14ac:dyDescent="0.45">
      <c r="A12" s="44" t="s">
        <v>35</v>
      </c>
      <c r="B12" s="44"/>
      <c r="C12" s="35">
        <v>4</v>
      </c>
      <c r="D12" s="35">
        <v>4</v>
      </c>
      <c r="E12" s="36"/>
      <c r="F12" s="36"/>
      <c r="G12" s="36"/>
      <c r="H12" s="36"/>
    </row>
    <row r="13" spans="1:8" ht="17.100000000000001" customHeight="1" x14ac:dyDescent="0.45">
      <c r="A13" s="44" t="s">
        <v>36</v>
      </c>
      <c r="B13" s="44"/>
      <c r="C13" s="35">
        <v>1</v>
      </c>
      <c r="D13" s="35">
        <v>1</v>
      </c>
      <c r="E13" s="36"/>
      <c r="F13" s="36"/>
      <c r="G13" s="36"/>
      <c r="H13" s="36"/>
    </row>
    <row r="14" spans="1:8" ht="17.100000000000001" customHeight="1" x14ac:dyDescent="0.45">
      <c r="A14" s="44" t="s">
        <v>37</v>
      </c>
      <c r="B14" s="44"/>
      <c r="C14" s="35">
        <v>9</v>
      </c>
      <c r="D14" s="35">
        <v>7</v>
      </c>
      <c r="E14" s="36"/>
      <c r="F14" s="36"/>
      <c r="G14" s="36"/>
      <c r="H14" s="36"/>
    </row>
    <row r="15" spans="1:8" ht="17.100000000000001" customHeight="1" x14ac:dyDescent="0.45">
      <c r="A15" s="44" t="s">
        <v>38</v>
      </c>
      <c r="B15" s="44"/>
      <c r="C15" s="35">
        <v>8</v>
      </c>
      <c r="D15" s="35">
        <v>4</v>
      </c>
      <c r="E15" s="36"/>
      <c r="F15" s="36"/>
      <c r="G15" s="36"/>
      <c r="H15" s="36"/>
    </row>
    <row r="16" spans="1:8" ht="17.100000000000001" customHeight="1" x14ac:dyDescent="0.45">
      <c r="A16" s="44" t="s">
        <v>39</v>
      </c>
      <c r="B16" s="44"/>
      <c r="C16" s="35">
        <v>9</v>
      </c>
      <c r="D16" s="35">
        <v>9</v>
      </c>
      <c r="E16" s="36"/>
      <c r="F16" s="36"/>
      <c r="G16" s="36"/>
      <c r="H16" s="36"/>
    </row>
    <row r="17" spans="1:4" ht="17.100000000000001" customHeight="1" x14ac:dyDescent="0.45">
      <c r="A17" s="45" t="s">
        <v>23</v>
      </c>
      <c r="B17" s="45"/>
      <c r="C17" s="37">
        <f>SUM(C6:C16)</f>
        <v>81</v>
      </c>
      <c r="D17" s="37">
        <f>SUM(D6:D16)</f>
        <v>71</v>
      </c>
    </row>
  </sheetData>
  <mergeCells count="15">
    <mergeCell ref="A1:D1"/>
    <mergeCell ref="A2:D2"/>
    <mergeCell ref="A4:B4"/>
    <mergeCell ref="A6:B6"/>
    <mergeCell ref="A17:B17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ageMargins left="0.39370078740157499" right="0.39370078740157499" top="0.59055118110236204" bottom="0.59055118110236204" header="0" footer="0.39370078740157499"/>
  <pageSetup paperSize="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abSelected="1" workbookViewId="0">
      <selection sqref="A1:O1"/>
    </sheetView>
  </sheetViews>
  <sheetFormatPr defaultColWidth="9.1328125" defaultRowHeight="14.25" x14ac:dyDescent="0.45"/>
  <cols>
    <col min="1" max="1" width="18.3984375" bestFit="1" customWidth="1"/>
    <col min="2" max="2" width="12.19921875" bestFit="1" customWidth="1"/>
    <col min="3" max="3" width="3.1328125" bestFit="1" customWidth="1"/>
    <col min="4" max="4" width="2.9296875" bestFit="1" customWidth="1"/>
    <col min="5" max="5" width="10.19921875" bestFit="1" customWidth="1"/>
  </cols>
  <sheetData>
    <row r="1" spans="1:15" s="2" customFormat="1" ht="21" customHeight="1" x14ac:dyDescent="0.45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s="2" customFormat="1" ht="21" customHeight="1" x14ac:dyDescent="0.45">
      <c r="A2" s="42" t="s">
        <v>27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21" customHeight="1" x14ac:dyDescent="0.45">
      <c r="C3" s="17"/>
      <c r="D3" s="28"/>
      <c r="E3" s="28"/>
      <c r="F3" s="28"/>
      <c r="G3" s="28"/>
      <c r="H3" s="28"/>
      <c r="I3" s="28"/>
      <c r="J3" s="28"/>
      <c r="K3" s="28"/>
    </row>
    <row r="4" spans="1:15" s="2" customFormat="1" ht="21" customHeight="1" x14ac:dyDescent="0.45">
      <c r="A4" s="20" t="s">
        <v>14</v>
      </c>
      <c r="B4" s="18" t="s">
        <v>28</v>
      </c>
      <c r="E4" s="28"/>
      <c r="F4" s="28"/>
      <c r="G4" s="28"/>
      <c r="H4" s="28"/>
      <c r="I4" s="28"/>
      <c r="J4" s="28"/>
      <c r="K4" s="28"/>
    </row>
    <row r="5" spans="1:15" s="2" customFormat="1" ht="21" customHeight="1" x14ac:dyDescent="0.45">
      <c r="A5" s="20" t="s">
        <v>15</v>
      </c>
      <c r="B5" s="18" t="s">
        <v>40</v>
      </c>
      <c r="E5" s="28"/>
      <c r="F5" s="28"/>
      <c r="G5" s="28"/>
      <c r="H5" s="28"/>
      <c r="I5" s="28"/>
      <c r="J5" s="28"/>
      <c r="K5" s="28"/>
    </row>
    <row r="6" spans="1:15" s="2" customFormat="1" ht="21" customHeight="1" x14ac:dyDescent="0.45">
      <c r="A6" s="20" t="s">
        <v>17</v>
      </c>
      <c r="B6" s="18" t="s">
        <v>41</v>
      </c>
      <c r="E6" s="28"/>
      <c r="F6" s="28"/>
      <c r="G6" s="28"/>
      <c r="H6" s="28"/>
      <c r="I6" s="28"/>
      <c r="J6" s="28"/>
      <c r="K6" s="28"/>
    </row>
    <row r="7" spans="1:15" s="2" customFormat="1" ht="21" customHeight="1" x14ac:dyDescent="0.45">
      <c r="A7" s="20" t="s">
        <v>18</v>
      </c>
      <c r="B7" s="18" t="s">
        <v>42</v>
      </c>
      <c r="E7" s="28"/>
      <c r="F7" s="28"/>
      <c r="G7" s="28"/>
      <c r="H7" s="28"/>
      <c r="I7" s="28"/>
      <c r="J7" s="28"/>
      <c r="K7" s="28"/>
    </row>
    <row r="8" spans="1:15" s="2" customFormat="1" ht="21" customHeight="1" x14ac:dyDescent="0.45">
      <c r="A8" s="20" t="s">
        <v>19</v>
      </c>
      <c r="B8" s="18" t="s">
        <v>43</v>
      </c>
      <c r="E8" s="28"/>
      <c r="F8" s="28"/>
      <c r="G8" s="28"/>
      <c r="H8" s="28"/>
      <c r="I8" s="28"/>
      <c r="J8" s="28"/>
      <c r="K8" s="28"/>
    </row>
    <row r="9" spans="1:15" s="2" customFormat="1" ht="21" customHeight="1" x14ac:dyDescent="0.45">
      <c r="A9" s="20" t="s">
        <v>20</v>
      </c>
      <c r="B9" s="18" t="s">
        <v>44</v>
      </c>
      <c r="E9" s="28"/>
      <c r="F9" s="28"/>
      <c r="G9" s="28"/>
      <c r="H9" s="28"/>
      <c r="I9" s="28"/>
      <c r="J9" s="28"/>
      <c r="K9" s="28"/>
    </row>
    <row r="10" spans="1:15" s="3" customFormat="1" ht="21" customHeight="1" x14ac:dyDescent="0.45"/>
    <row r="11" spans="1:15" x14ac:dyDescent="0.45">
      <c r="A11" s="38" t="s">
        <v>25</v>
      </c>
      <c r="B11" s="38" t="s">
        <v>2</v>
      </c>
    </row>
    <row r="12" spans="1:15" x14ac:dyDescent="0.45">
      <c r="A12" s="38" t="s">
        <v>4</v>
      </c>
      <c r="B12" t="s">
        <v>47</v>
      </c>
      <c r="C12" t="s">
        <v>95</v>
      </c>
      <c r="D12" t="s">
        <v>99</v>
      </c>
      <c r="E12" t="s">
        <v>24</v>
      </c>
    </row>
    <row r="13" spans="1:15" x14ac:dyDescent="0.45">
      <c r="A13" s="39" t="s">
        <v>51</v>
      </c>
      <c r="B13" s="40">
        <v>18</v>
      </c>
      <c r="C13" s="40">
        <v>1</v>
      </c>
      <c r="D13" s="40"/>
      <c r="E13" s="40">
        <v>19</v>
      </c>
    </row>
    <row r="14" spans="1:15" x14ac:dyDescent="0.45">
      <c r="A14" s="39" t="s">
        <v>67</v>
      </c>
      <c r="B14" s="40">
        <v>30</v>
      </c>
      <c r="C14" s="40"/>
      <c r="D14" s="40">
        <v>12</v>
      </c>
      <c r="E14" s="40">
        <v>42</v>
      </c>
    </row>
    <row r="15" spans="1:15" x14ac:dyDescent="0.45">
      <c r="A15" s="39" t="s">
        <v>82</v>
      </c>
      <c r="B15" s="40">
        <v>15</v>
      </c>
      <c r="C15" s="40"/>
      <c r="D15" s="40"/>
      <c r="E15" s="40">
        <v>15</v>
      </c>
    </row>
    <row r="16" spans="1:15" x14ac:dyDescent="0.45">
      <c r="A16" s="39" t="s">
        <v>165</v>
      </c>
      <c r="B16" s="40">
        <v>5</v>
      </c>
      <c r="C16" s="40"/>
      <c r="D16" s="40"/>
      <c r="E16" s="40">
        <v>5</v>
      </c>
    </row>
    <row r="17" spans="1:5" x14ac:dyDescent="0.45">
      <c r="A17" s="39" t="s">
        <v>24</v>
      </c>
      <c r="B17" s="40">
        <v>68</v>
      </c>
      <c r="C17" s="40">
        <v>1</v>
      </c>
      <c r="D17" s="40">
        <v>12</v>
      </c>
      <c r="E17" s="40">
        <v>81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9"/>
  <sheetViews>
    <sheetView workbookViewId="0">
      <selection sqref="A1:O1"/>
    </sheetView>
  </sheetViews>
  <sheetFormatPr defaultColWidth="9.1328125" defaultRowHeight="12.75" x14ac:dyDescent="0.45"/>
  <cols>
    <col min="1" max="1" width="16.19921875" style="7" customWidth="1"/>
    <col min="2" max="2" width="12.33203125" style="7" customWidth="1"/>
    <col min="3" max="3" width="12" style="10" customWidth="1"/>
    <col min="4" max="4" width="18.6640625" style="10" customWidth="1"/>
    <col min="5" max="6" width="11.6640625" style="10" customWidth="1"/>
    <col min="7" max="10" width="18.6640625" style="10" customWidth="1"/>
    <col min="11" max="11" width="12.6640625" style="7" customWidth="1"/>
    <col min="12" max="12" width="15.6640625" style="7" customWidth="1"/>
    <col min="13" max="13" width="22.6640625" style="7" customWidth="1"/>
    <col min="14" max="14" width="15.6640625" style="7" customWidth="1"/>
    <col min="15" max="196" width="22.6640625" style="7" customWidth="1"/>
    <col min="197" max="16384" width="9.1328125" style="7"/>
  </cols>
  <sheetData>
    <row r="1" spans="1:15" s="2" customFormat="1" ht="21" customHeight="1" x14ac:dyDescent="0.45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s="2" customFormat="1" ht="21" customHeight="1" x14ac:dyDescent="0.45">
      <c r="A2" s="42" t="s">
        <v>27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21" customHeight="1" x14ac:dyDescent="0.45">
      <c r="C3" s="17"/>
      <c r="D3" s="28"/>
      <c r="E3" s="28"/>
      <c r="F3" s="28"/>
      <c r="G3" s="28"/>
      <c r="H3" s="28"/>
      <c r="I3" s="28"/>
      <c r="J3" s="28"/>
      <c r="K3" s="28"/>
    </row>
    <row r="4" spans="1:15" s="2" customFormat="1" ht="21" customHeight="1" x14ac:dyDescent="0.45">
      <c r="A4" s="20" t="s">
        <v>14</v>
      </c>
      <c r="B4" s="18" t="s">
        <v>28</v>
      </c>
      <c r="E4" s="28"/>
      <c r="F4" s="28"/>
      <c r="G4" s="28"/>
      <c r="H4" s="28"/>
      <c r="I4" s="28"/>
      <c r="J4" s="28"/>
      <c r="K4" s="28"/>
    </row>
    <row r="5" spans="1:15" s="2" customFormat="1" ht="21" customHeight="1" x14ac:dyDescent="0.45">
      <c r="A5" s="20" t="s">
        <v>15</v>
      </c>
      <c r="B5" s="18" t="s">
        <v>40</v>
      </c>
      <c r="E5" s="28"/>
      <c r="F5" s="28"/>
      <c r="G5" s="28"/>
      <c r="H5" s="28"/>
      <c r="I5" s="28"/>
      <c r="J5" s="28"/>
      <c r="K5" s="28"/>
    </row>
    <row r="6" spans="1:15" s="2" customFormat="1" ht="21" customHeight="1" x14ac:dyDescent="0.45">
      <c r="A6" s="20" t="s">
        <v>17</v>
      </c>
      <c r="B6" s="18" t="s">
        <v>41</v>
      </c>
      <c r="E6" s="28"/>
      <c r="F6" s="28"/>
      <c r="G6" s="28"/>
      <c r="H6" s="28"/>
      <c r="I6" s="28"/>
      <c r="J6" s="28"/>
      <c r="K6" s="28"/>
    </row>
    <row r="7" spans="1:15" s="2" customFormat="1" ht="21" customHeight="1" x14ac:dyDescent="0.45">
      <c r="A7" s="20" t="s">
        <v>18</v>
      </c>
      <c r="B7" s="18" t="s">
        <v>42</v>
      </c>
      <c r="E7" s="28"/>
      <c r="F7" s="28"/>
      <c r="G7" s="28"/>
      <c r="H7" s="28"/>
      <c r="I7" s="28"/>
      <c r="J7" s="28"/>
      <c r="K7" s="28"/>
    </row>
    <row r="8" spans="1:15" s="2" customFormat="1" ht="21" customHeight="1" x14ac:dyDescent="0.45">
      <c r="A8" s="20" t="s">
        <v>19</v>
      </c>
      <c r="B8" s="18" t="s">
        <v>43</v>
      </c>
      <c r="E8" s="28"/>
      <c r="F8" s="28"/>
      <c r="G8" s="28"/>
      <c r="H8" s="28"/>
      <c r="I8" s="28"/>
      <c r="J8" s="28"/>
      <c r="K8" s="28"/>
    </row>
    <row r="9" spans="1:15" s="2" customFormat="1" ht="21" customHeight="1" x14ac:dyDescent="0.45">
      <c r="A9" s="20" t="s">
        <v>20</v>
      </c>
      <c r="B9" s="18" t="s">
        <v>44</v>
      </c>
      <c r="E9" s="28"/>
      <c r="F9" s="28"/>
      <c r="G9" s="28"/>
      <c r="H9" s="28"/>
      <c r="I9" s="28"/>
      <c r="J9" s="28"/>
      <c r="K9" s="28"/>
    </row>
    <row r="10" spans="1:15" s="3" customFormat="1" ht="21" customHeight="1" x14ac:dyDescent="0.45"/>
    <row r="11" spans="1:15" s="6" customFormat="1" ht="21" customHeight="1" x14ac:dyDescent="0.45">
      <c r="A11" s="4" t="s">
        <v>7</v>
      </c>
      <c r="B11" s="4" t="s">
        <v>8</v>
      </c>
      <c r="C11" s="4" t="s">
        <v>0</v>
      </c>
      <c r="D11" s="5" t="s">
        <v>2</v>
      </c>
      <c r="E11" s="4" t="s">
        <v>1</v>
      </c>
      <c r="F11" s="4" t="s">
        <v>13</v>
      </c>
      <c r="G11" s="4" t="s">
        <v>3</v>
      </c>
      <c r="H11" s="4" t="s">
        <v>16</v>
      </c>
      <c r="I11" s="4" t="s">
        <v>4</v>
      </c>
      <c r="J11" s="4" t="s">
        <v>5</v>
      </c>
      <c r="K11" s="4" t="s">
        <v>6</v>
      </c>
      <c r="L11" s="4" t="s">
        <v>9</v>
      </c>
      <c r="M11" s="4" t="s">
        <v>10</v>
      </c>
      <c r="N11" s="4" t="s">
        <v>11</v>
      </c>
      <c r="O11" s="4" t="s">
        <v>12</v>
      </c>
    </row>
    <row r="12" spans="1:15" ht="21" customHeight="1" x14ac:dyDescent="0.45">
      <c r="A12" s="1" t="s">
        <v>28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 t="s">
        <v>39</v>
      </c>
      <c r="H12" s="1" t="s">
        <v>50</v>
      </c>
      <c r="I12" s="1" t="s">
        <v>51</v>
      </c>
      <c r="J12" s="1" t="s">
        <v>52</v>
      </c>
      <c r="K12" s="1" t="s">
        <v>53</v>
      </c>
      <c r="L12" s="21">
        <v>45454</v>
      </c>
      <c r="M12" s="1" t="s">
        <v>54</v>
      </c>
      <c r="N12" s="21">
        <v>45468</v>
      </c>
      <c r="O12" s="1" t="s">
        <v>55</v>
      </c>
    </row>
    <row r="13" spans="1:15" ht="21" customHeight="1" x14ac:dyDescent="0.45">
      <c r="A13" s="1" t="s">
        <v>28</v>
      </c>
      <c r="B13" s="1" t="s">
        <v>45</v>
      </c>
      <c r="C13" s="1" t="s">
        <v>56</v>
      </c>
      <c r="D13" s="1" t="s">
        <v>47</v>
      </c>
      <c r="E13" s="1" t="s">
        <v>57</v>
      </c>
      <c r="F13" s="1" t="s">
        <v>58</v>
      </c>
      <c r="G13" s="1" t="s">
        <v>33</v>
      </c>
      <c r="H13" s="1" t="s">
        <v>59</v>
      </c>
      <c r="I13" s="1" t="s">
        <v>51</v>
      </c>
      <c r="J13" s="1" t="s">
        <v>52</v>
      </c>
      <c r="K13" s="1" t="s">
        <v>53</v>
      </c>
      <c r="L13" s="21">
        <v>45453</v>
      </c>
      <c r="M13" s="1" t="s">
        <v>60</v>
      </c>
      <c r="N13" s="21">
        <v>45467</v>
      </c>
      <c r="O13" s="1" t="s">
        <v>61</v>
      </c>
    </row>
    <row r="14" spans="1:15" ht="21" customHeight="1" x14ac:dyDescent="0.45">
      <c r="A14" s="1" t="s">
        <v>28</v>
      </c>
      <c r="B14" s="1" t="s">
        <v>62</v>
      </c>
      <c r="C14" s="1" t="s">
        <v>63</v>
      </c>
      <c r="D14" s="1" t="s">
        <v>47</v>
      </c>
      <c r="E14" s="1" t="s">
        <v>64</v>
      </c>
      <c r="F14" s="1" t="s">
        <v>65</v>
      </c>
      <c r="G14" s="1" t="s">
        <v>37</v>
      </c>
      <c r="H14" s="1" t="s">
        <v>66</v>
      </c>
      <c r="I14" s="1" t="s">
        <v>67</v>
      </c>
      <c r="J14" s="1" t="s">
        <v>68</v>
      </c>
      <c r="K14" s="1" t="s">
        <v>69</v>
      </c>
      <c r="L14" s="21">
        <v>45457</v>
      </c>
      <c r="M14" s="1" t="s">
        <v>70</v>
      </c>
      <c r="N14" s="21">
        <v>45464</v>
      </c>
      <c r="O14" s="1" t="s">
        <v>71</v>
      </c>
    </row>
    <row r="15" spans="1:15" ht="21" customHeight="1" x14ac:dyDescent="0.45">
      <c r="A15" s="1" t="s">
        <v>28</v>
      </c>
      <c r="B15" s="1" t="s">
        <v>62</v>
      </c>
      <c r="C15" s="1" t="s">
        <v>72</v>
      </c>
      <c r="D15" s="1" t="s">
        <v>47</v>
      </c>
      <c r="E15" s="1" t="s">
        <v>73</v>
      </c>
      <c r="F15" s="1" t="s">
        <v>74</v>
      </c>
      <c r="G15" s="1" t="s">
        <v>31</v>
      </c>
      <c r="H15" s="1" t="s">
        <v>66</v>
      </c>
      <c r="I15" s="1" t="s">
        <v>67</v>
      </c>
      <c r="J15" s="1" t="s">
        <v>75</v>
      </c>
      <c r="K15" s="1" t="s">
        <v>69</v>
      </c>
      <c r="L15" s="21">
        <v>45462</v>
      </c>
      <c r="M15" s="1" t="s">
        <v>76</v>
      </c>
      <c r="N15" s="21">
        <v>45470</v>
      </c>
      <c r="O15" s="1" t="s">
        <v>77</v>
      </c>
    </row>
    <row r="16" spans="1:15" ht="21" customHeight="1" x14ac:dyDescent="0.45">
      <c r="A16" s="1" t="s">
        <v>28</v>
      </c>
      <c r="B16" s="1" t="s">
        <v>62</v>
      </c>
      <c r="C16" s="1" t="s">
        <v>78</v>
      </c>
      <c r="D16" s="1" t="s">
        <v>47</v>
      </c>
      <c r="E16" s="1" t="s">
        <v>79</v>
      </c>
      <c r="F16" s="1" t="s">
        <v>80</v>
      </c>
      <c r="G16" s="1" t="s">
        <v>38</v>
      </c>
      <c r="H16" s="1" t="s">
        <v>81</v>
      </c>
      <c r="I16" s="1" t="s">
        <v>82</v>
      </c>
      <c r="J16" s="1" t="s">
        <v>83</v>
      </c>
      <c r="K16" s="1" t="s">
        <v>84</v>
      </c>
      <c r="L16" s="21">
        <v>45464</v>
      </c>
      <c r="M16" s="1" t="s">
        <v>70</v>
      </c>
      <c r="N16" s="21">
        <v>45471</v>
      </c>
      <c r="O16" s="1" t="s">
        <v>71</v>
      </c>
    </row>
    <row r="17" spans="1:15" ht="21" customHeight="1" x14ac:dyDescent="0.45">
      <c r="A17" s="1" t="s">
        <v>28</v>
      </c>
      <c r="B17" s="1" t="s">
        <v>62</v>
      </c>
      <c r="C17" s="1" t="s">
        <v>85</v>
      </c>
      <c r="D17" s="1" t="s">
        <v>47</v>
      </c>
      <c r="E17" s="1" t="s">
        <v>86</v>
      </c>
      <c r="F17" s="1" t="s">
        <v>87</v>
      </c>
      <c r="G17" s="1" t="s">
        <v>30</v>
      </c>
      <c r="H17" s="1" t="s">
        <v>88</v>
      </c>
      <c r="I17" s="1" t="s">
        <v>82</v>
      </c>
      <c r="J17" s="1" t="s">
        <v>89</v>
      </c>
      <c r="K17" s="1" t="s">
        <v>90</v>
      </c>
      <c r="L17" s="21">
        <v>45464</v>
      </c>
      <c r="M17" s="1" t="s">
        <v>70</v>
      </c>
      <c r="N17" s="21">
        <v>45471</v>
      </c>
      <c r="O17" s="1" t="s">
        <v>71</v>
      </c>
    </row>
    <row r="18" spans="1:15" ht="21" customHeight="1" x14ac:dyDescent="0.45">
      <c r="A18" s="1" t="s">
        <v>28</v>
      </c>
      <c r="B18" s="1" t="s">
        <v>45</v>
      </c>
      <c r="C18" s="1" t="s">
        <v>91</v>
      </c>
      <c r="D18" s="1" t="s">
        <v>47</v>
      </c>
      <c r="E18" s="1" t="s">
        <v>92</v>
      </c>
      <c r="F18" s="1" t="s">
        <v>93</v>
      </c>
      <c r="G18" s="1" t="s">
        <v>39</v>
      </c>
      <c r="H18" s="1" t="s">
        <v>50</v>
      </c>
      <c r="I18" s="1" t="s">
        <v>51</v>
      </c>
      <c r="J18" s="1" t="s">
        <v>52</v>
      </c>
      <c r="K18" s="1" t="s">
        <v>53</v>
      </c>
      <c r="L18" s="21">
        <v>45454</v>
      </c>
      <c r="M18" s="1" t="s">
        <v>54</v>
      </c>
      <c r="N18" s="21">
        <v>45468</v>
      </c>
      <c r="O18" s="1" t="s">
        <v>55</v>
      </c>
    </row>
    <row r="19" spans="1:15" ht="21" customHeight="1" x14ac:dyDescent="0.45">
      <c r="A19" s="1" t="s">
        <v>28</v>
      </c>
      <c r="B19" s="1" t="s">
        <v>45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31</v>
      </c>
      <c r="H19" s="1" t="s">
        <v>88</v>
      </c>
      <c r="I19" s="1" t="s">
        <v>51</v>
      </c>
      <c r="J19" s="1" t="s">
        <v>52</v>
      </c>
      <c r="K19" s="1" t="s">
        <v>53</v>
      </c>
      <c r="L19" s="21">
        <v>45449</v>
      </c>
      <c r="M19" s="1" t="s">
        <v>76</v>
      </c>
      <c r="N19" s="21">
        <v>45464</v>
      </c>
      <c r="O19" s="1" t="s">
        <v>76</v>
      </c>
    </row>
    <row r="20" spans="1:15" ht="21" customHeight="1" x14ac:dyDescent="0.45">
      <c r="A20" s="1" t="s">
        <v>28</v>
      </c>
      <c r="B20" s="1" t="s">
        <v>62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31</v>
      </c>
      <c r="H20" s="1" t="s">
        <v>66</v>
      </c>
      <c r="I20" s="1" t="s">
        <v>67</v>
      </c>
      <c r="J20" s="1" t="s">
        <v>102</v>
      </c>
      <c r="K20" s="1" t="s">
        <v>69</v>
      </c>
      <c r="L20" s="21">
        <v>45463</v>
      </c>
      <c r="M20" s="1" t="s">
        <v>103</v>
      </c>
      <c r="N20" s="21">
        <v>45470</v>
      </c>
      <c r="O20" s="1" t="s">
        <v>104</v>
      </c>
    </row>
    <row r="21" spans="1:15" ht="21" customHeight="1" x14ac:dyDescent="0.45">
      <c r="A21" s="1" t="s">
        <v>28</v>
      </c>
      <c r="B21" s="1" t="s">
        <v>62</v>
      </c>
      <c r="C21" s="1" t="s">
        <v>105</v>
      </c>
      <c r="D21" s="1" t="s">
        <v>47</v>
      </c>
      <c r="E21" s="1" t="s">
        <v>106</v>
      </c>
      <c r="F21" s="1" t="s">
        <v>107</v>
      </c>
      <c r="G21" s="1" t="s">
        <v>37</v>
      </c>
      <c r="H21" s="1" t="s">
        <v>66</v>
      </c>
      <c r="I21" s="1" t="s">
        <v>67</v>
      </c>
      <c r="J21" s="1" t="s">
        <v>68</v>
      </c>
      <c r="K21" s="1" t="s">
        <v>69</v>
      </c>
      <c r="L21" s="21">
        <v>45460</v>
      </c>
      <c r="M21" s="1" t="s">
        <v>60</v>
      </c>
      <c r="N21" s="21">
        <v>45467</v>
      </c>
      <c r="O21" s="1" t="s">
        <v>108</v>
      </c>
    </row>
    <row r="22" spans="1:15" ht="21" customHeight="1" x14ac:dyDescent="0.45">
      <c r="A22" s="1" t="s">
        <v>28</v>
      </c>
      <c r="B22" s="1" t="s">
        <v>62</v>
      </c>
      <c r="C22" s="1" t="s">
        <v>109</v>
      </c>
      <c r="D22" s="1" t="s">
        <v>47</v>
      </c>
      <c r="E22" s="1" t="s">
        <v>110</v>
      </c>
      <c r="F22" s="1" t="s">
        <v>111</v>
      </c>
      <c r="G22" s="1" t="s">
        <v>37</v>
      </c>
      <c r="H22" s="1" t="s">
        <v>66</v>
      </c>
      <c r="I22" s="1" t="s">
        <v>67</v>
      </c>
      <c r="J22" s="1" t="s">
        <v>112</v>
      </c>
      <c r="K22" s="1" t="s">
        <v>69</v>
      </c>
      <c r="L22" s="21">
        <v>45464</v>
      </c>
      <c r="M22" s="1" t="s">
        <v>70</v>
      </c>
      <c r="N22" s="21">
        <v>45471</v>
      </c>
      <c r="O22" s="1" t="s">
        <v>71</v>
      </c>
    </row>
    <row r="23" spans="1:15" ht="21" customHeight="1" x14ac:dyDescent="0.45">
      <c r="A23" s="1" t="s">
        <v>28</v>
      </c>
      <c r="B23" s="1" t="s">
        <v>45</v>
      </c>
      <c r="C23" s="1" t="s">
        <v>113</v>
      </c>
      <c r="D23" s="1" t="s">
        <v>47</v>
      </c>
      <c r="E23" s="1" t="s">
        <v>114</v>
      </c>
      <c r="F23" s="1" t="s">
        <v>115</v>
      </c>
      <c r="G23" s="1" t="s">
        <v>30</v>
      </c>
      <c r="H23" s="1" t="s">
        <v>88</v>
      </c>
      <c r="I23" s="1" t="s">
        <v>82</v>
      </c>
      <c r="J23" s="1" t="s">
        <v>102</v>
      </c>
      <c r="K23" s="1" t="s">
        <v>116</v>
      </c>
      <c r="L23" s="21">
        <v>45460</v>
      </c>
      <c r="M23" s="1" t="s">
        <v>76</v>
      </c>
      <c r="N23" s="21">
        <v>45464</v>
      </c>
      <c r="O23" s="1" t="s">
        <v>77</v>
      </c>
    </row>
    <row r="24" spans="1:15" ht="21" customHeight="1" x14ac:dyDescent="0.45">
      <c r="A24" s="1" t="s">
        <v>28</v>
      </c>
      <c r="B24" s="1" t="s">
        <v>62</v>
      </c>
      <c r="C24" s="1" t="s">
        <v>117</v>
      </c>
      <c r="D24" s="1" t="s">
        <v>47</v>
      </c>
      <c r="E24" s="1" t="s">
        <v>118</v>
      </c>
      <c r="F24" s="1" t="s">
        <v>119</v>
      </c>
      <c r="G24" s="1" t="s">
        <v>38</v>
      </c>
      <c r="H24" s="1" t="s">
        <v>81</v>
      </c>
      <c r="I24" s="1" t="s">
        <v>82</v>
      </c>
      <c r="J24" s="1" t="s">
        <v>83</v>
      </c>
      <c r="K24" s="1" t="s">
        <v>84</v>
      </c>
      <c r="L24" s="21">
        <v>45464</v>
      </c>
      <c r="M24" s="1" t="s">
        <v>70</v>
      </c>
      <c r="N24" s="21">
        <v>45471</v>
      </c>
      <c r="O24" s="1" t="s">
        <v>71</v>
      </c>
    </row>
    <row r="25" spans="1:15" ht="21" customHeight="1" x14ac:dyDescent="0.45">
      <c r="A25" s="1" t="s">
        <v>28</v>
      </c>
      <c r="B25" s="1" t="s">
        <v>45</v>
      </c>
      <c r="C25" s="1" t="s">
        <v>120</v>
      </c>
      <c r="D25" s="1" t="s">
        <v>47</v>
      </c>
      <c r="E25" s="1" t="s">
        <v>121</v>
      </c>
      <c r="F25" s="1" t="s">
        <v>122</v>
      </c>
      <c r="G25" s="1" t="s">
        <v>33</v>
      </c>
      <c r="H25" s="1" t="s">
        <v>59</v>
      </c>
      <c r="I25" s="1" t="s">
        <v>51</v>
      </c>
      <c r="J25" s="1" t="s">
        <v>52</v>
      </c>
      <c r="K25" s="1" t="s">
        <v>53</v>
      </c>
      <c r="L25" s="21">
        <v>45454</v>
      </c>
      <c r="M25" s="1" t="s">
        <v>123</v>
      </c>
      <c r="N25" s="21">
        <v>45467</v>
      </c>
      <c r="O25" s="1" t="s">
        <v>61</v>
      </c>
    </row>
    <row r="26" spans="1:15" ht="21" customHeight="1" x14ac:dyDescent="0.45">
      <c r="A26" s="1" t="s">
        <v>28</v>
      </c>
      <c r="B26" s="1" t="s">
        <v>62</v>
      </c>
      <c r="C26" s="1" t="s">
        <v>124</v>
      </c>
      <c r="D26" s="1" t="s">
        <v>47</v>
      </c>
      <c r="E26" s="1" t="s">
        <v>125</v>
      </c>
      <c r="F26" s="1" t="s">
        <v>126</v>
      </c>
      <c r="G26" s="1" t="s">
        <v>31</v>
      </c>
      <c r="H26" s="1" t="s">
        <v>66</v>
      </c>
      <c r="I26" s="1" t="s">
        <v>67</v>
      </c>
      <c r="J26" s="1" t="s">
        <v>75</v>
      </c>
      <c r="K26" s="1" t="s">
        <v>127</v>
      </c>
      <c r="L26" s="21">
        <v>45463</v>
      </c>
      <c r="M26" s="1" t="s">
        <v>128</v>
      </c>
      <c r="N26" s="21">
        <v>45470</v>
      </c>
      <c r="O26" s="1" t="s">
        <v>129</v>
      </c>
    </row>
    <row r="27" spans="1:15" ht="21" customHeight="1" x14ac:dyDescent="0.45">
      <c r="A27" s="1" t="s">
        <v>28</v>
      </c>
      <c r="B27" s="1" t="s">
        <v>62</v>
      </c>
      <c r="C27" s="1" t="s">
        <v>130</v>
      </c>
      <c r="D27" s="1" t="s">
        <v>47</v>
      </c>
      <c r="E27" s="1" t="s">
        <v>131</v>
      </c>
      <c r="F27" s="1" t="s">
        <v>132</v>
      </c>
      <c r="G27" s="1" t="s">
        <v>31</v>
      </c>
      <c r="H27" s="1" t="s">
        <v>66</v>
      </c>
      <c r="I27" s="1" t="s">
        <v>67</v>
      </c>
      <c r="J27" s="1" t="s">
        <v>75</v>
      </c>
      <c r="K27" s="1" t="s">
        <v>69</v>
      </c>
      <c r="L27" s="21">
        <v>45463</v>
      </c>
      <c r="M27" s="1" t="s">
        <v>128</v>
      </c>
      <c r="N27" s="21">
        <v>45470</v>
      </c>
      <c r="O27" s="1" t="s">
        <v>129</v>
      </c>
    </row>
    <row r="28" spans="1:15" ht="21" customHeight="1" x14ac:dyDescent="0.45">
      <c r="A28" s="1" t="s">
        <v>28</v>
      </c>
      <c r="B28" s="1" t="s">
        <v>62</v>
      </c>
      <c r="C28" s="1" t="s">
        <v>133</v>
      </c>
      <c r="D28" s="1" t="s">
        <v>47</v>
      </c>
      <c r="E28" s="1" t="s">
        <v>134</v>
      </c>
      <c r="F28" s="1" t="s">
        <v>135</v>
      </c>
      <c r="G28" s="1" t="s">
        <v>31</v>
      </c>
      <c r="H28" s="1" t="s">
        <v>66</v>
      </c>
      <c r="I28" s="1" t="s">
        <v>67</v>
      </c>
      <c r="J28" s="1" t="s">
        <v>136</v>
      </c>
      <c r="K28" s="1" t="s">
        <v>69</v>
      </c>
      <c r="L28" s="21">
        <v>45463</v>
      </c>
      <c r="M28" s="1" t="s">
        <v>128</v>
      </c>
      <c r="N28" s="21">
        <v>45470</v>
      </c>
      <c r="O28" s="1" t="s">
        <v>129</v>
      </c>
    </row>
    <row r="29" spans="1:15" ht="21" customHeight="1" x14ac:dyDescent="0.45">
      <c r="A29" s="1" t="s">
        <v>28</v>
      </c>
      <c r="B29" s="1" t="s">
        <v>45</v>
      </c>
      <c r="C29" s="1" t="s">
        <v>137</v>
      </c>
      <c r="D29" s="1" t="s">
        <v>47</v>
      </c>
      <c r="E29" s="1" t="s">
        <v>138</v>
      </c>
      <c r="F29" s="1" t="s">
        <v>139</v>
      </c>
      <c r="G29" s="1" t="s">
        <v>39</v>
      </c>
      <c r="H29" s="1" t="s">
        <v>50</v>
      </c>
      <c r="I29" s="1" t="s">
        <v>51</v>
      </c>
      <c r="J29" s="1" t="s">
        <v>52</v>
      </c>
      <c r="K29" s="1" t="s">
        <v>53</v>
      </c>
      <c r="L29" s="21">
        <v>45454</v>
      </c>
      <c r="M29" s="1" t="s">
        <v>54</v>
      </c>
      <c r="N29" s="21">
        <v>45468</v>
      </c>
      <c r="O29" s="1" t="s">
        <v>55</v>
      </c>
    </row>
    <row r="30" spans="1:15" ht="21" customHeight="1" x14ac:dyDescent="0.45">
      <c r="A30" s="1" t="s">
        <v>28</v>
      </c>
      <c r="B30" s="1" t="s">
        <v>62</v>
      </c>
      <c r="C30" s="1" t="s">
        <v>140</v>
      </c>
      <c r="D30" s="1" t="s">
        <v>47</v>
      </c>
      <c r="E30" s="1" t="s">
        <v>141</v>
      </c>
      <c r="F30" s="1" t="s">
        <v>142</v>
      </c>
      <c r="G30" s="1" t="s">
        <v>37</v>
      </c>
      <c r="H30" s="1" t="s">
        <v>66</v>
      </c>
      <c r="I30" s="1" t="s">
        <v>67</v>
      </c>
      <c r="J30" s="1" t="s">
        <v>143</v>
      </c>
      <c r="K30" s="1" t="s">
        <v>144</v>
      </c>
      <c r="L30" s="21">
        <v>45460</v>
      </c>
      <c r="M30" s="1" t="s">
        <v>60</v>
      </c>
      <c r="N30" s="21">
        <v>45467</v>
      </c>
      <c r="O30" s="1" t="s">
        <v>108</v>
      </c>
    </row>
    <row r="31" spans="1:15" ht="21" customHeight="1" x14ac:dyDescent="0.45">
      <c r="A31" s="1" t="s">
        <v>28</v>
      </c>
      <c r="B31" s="1" t="s">
        <v>45</v>
      </c>
      <c r="C31" s="1" t="s">
        <v>145</v>
      </c>
      <c r="D31" s="1" t="s">
        <v>47</v>
      </c>
      <c r="E31" s="1" t="s">
        <v>146</v>
      </c>
      <c r="F31" s="1" t="s">
        <v>147</v>
      </c>
      <c r="G31" s="1" t="s">
        <v>39</v>
      </c>
      <c r="H31" s="1" t="s">
        <v>50</v>
      </c>
      <c r="I31" s="1" t="s">
        <v>51</v>
      </c>
      <c r="J31" s="1" t="s">
        <v>52</v>
      </c>
      <c r="K31" s="1" t="s">
        <v>53</v>
      </c>
      <c r="L31" s="21">
        <v>45454</v>
      </c>
      <c r="M31" s="1" t="s">
        <v>54</v>
      </c>
      <c r="N31" s="21">
        <v>45468</v>
      </c>
      <c r="O31" s="1" t="s">
        <v>55</v>
      </c>
    </row>
    <row r="32" spans="1:15" ht="21" customHeight="1" x14ac:dyDescent="0.45">
      <c r="A32" s="1" t="s">
        <v>28</v>
      </c>
      <c r="B32" s="1" t="s">
        <v>62</v>
      </c>
      <c r="C32" s="1" t="s">
        <v>148</v>
      </c>
      <c r="D32" s="1" t="s">
        <v>47</v>
      </c>
      <c r="E32" s="1" t="s">
        <v>149</v>
      </c>
      <c r="F32" s="1" t="s">
        <v>150</v>
      </c>
      <c r="G32" s="1" t="s">
        <v>31</v>
      </c>
      <c r="H32" s="1" t="s">
        <v>66</v>
      </c>
      <c r="I32" s="1" t="s">
        <v>67</v>
      </c>
      <c r="J32" s="1" t="s">
        <v>75</v>
      </c>
      <c r="K32" s="1" t="s">
        <v>69</v>
      </c>
      <c r="L32" s="21">
        <v>45463</v>
      </c>
      <c r="M32" s="1" t="s">
        <v>128</v>
      </c>
      <c r="N32" s="21">
        <v>45470</v>
      </c>
      <c r="O32" s="1" t="s">
        <v>129</v>
      </c>
    </row>
    <row r="33" spans="1:15" ht="21" customHeight="1" x14ac:dyDescent="0.45">
      <c r="A33" s="1" t="s">
        <v>28</v>
      </c>
      <c r="B33" s="1" t="s">
        <v>62</v>
      </c>
      <c r="C33" s="1" t="s">
        <v>151</v>
      </c>
      <c r="D33" s="1" t="s">
        <v>47</v>
      </c>
      <c r="E33" s="1" t="s">
        <v>152</v>
      </c>
      <c r="F33" s="1" t="s">
        <v>153</v>
      </c>
      <c r="G33" s="1" t="s">
        <v>31</v>
      </c>
      <c r="H33" s="1" t="s">
        <v>66</v>
      </c>
      <c r="I33" s="1" t="s">
        <v>67</v>
      </c>
      <c r="J33" s="1" t="s">
        <v>154</v>
      </c>
      <c r="K33" s="1" t="s">
        <v>69</v>
      </c>
      <c r="L33" s="21">
        <v>45463</v>
      </c>
      <c r="M33" s="1" t="s">
        <v>128</v>
      </c>
      <c r="N33" s="21">
        <v>45470</v>
      </c>
      <c r="O33" s="1" t="s">
        <v>129</v>
      </c>
    </row>
    <row r="34" spans="1:15" ht="21" customHeight="1" x14ac:dyDescent="0.45">
      <c r="A34" s="1" t="s">
        <v>28</v>
      </c>
      <c r="B34" s="1" t="s">
        <v>62</v>
      </c>
      <c r="C34" s="1" t="s">
        <v>155</v>
      </c>
      <c r="D34" s="1" t="s">
        <v>47</v>
      </c>
      <c r="E34" s="1" t="s">
        <v>156</v>
      </c>
      <c r="F34" s="1" t="s">
        <v>157</v>
      </c>
      <c r="G34" s="1" t="s">
        <v>31</v>
      </c>
      <c r="H34" s="1" t="s">
        <v>66</v>
      </c>
      <c r="I34" s="1" t="s">
        <v>67</v>
      </c>
      <c r="J34" s="1" t="s">
        <v>158</v>
      </c>
      <c r="K34" s="1" t="s">
        <v>69</v>
      </c>
      <c r="L34" s="21">
        <v>45462</v>
      </c>
      <c r="M34" s="1" t="s">
        <v>159</v>
      </c>
      <c r="N34" s="21">
        <v>45469</v>
      </c>
      <c r="O34" s="1" t="s">
        <v>160</v>
      </c>
    </row>
    <row r="35" spans="1:15" ht="21" customHeight="1" x14ac:dyDescent="0.45">
      <c r="A35" s="1" t="s">
        <v>28</v>
      </c>
      <c r="B35" s="1" t="s">
        <v>62</v>
      </c>
      <c r="C35" s="1" t="s">
        <v>161</v>
      </c>
      <c r="D35" s="1" t="s">
        <v>47</v>
      </c>
      <c r="E35" s="1" t="s">
        <v>162</v>
      </c>
      <c r="F35" s="1" t="s">
        <v>163</v>
      </c>
      <c r="G35" s="1" t="s">
        <v>32</v>
      </c>
      <c r="H35" s="1" t="s">
        <v>164</v>
      </c>
      <c r="I35" s="1" t="s">
        <v>165</v>
      </c>
      <c r="J35" s="1" t="s">
        <v>166</v>
      </c>
      <c r="K35" s="1" t="s">
        <v>167</v>
      </c>
      <c r="L35" s="21">
        <v>45463</v>
      </c>
      <c r="M35" s="1" t="s">
        <v>128</v>
      </c>
      <c r="N35" s="21">
        <v>45470</v>
      </c>
      <c r="O35" s="1" t="s">
        <v>129</v>
      </c>
    </row>
    <row r="36" spans="1:15" ht="21" customHeight="1" x14ac:dyDescent="0.45">
      <c r="A36" s="1" t="s">
        <v>28</v>
      </c>
      <c r="B36" s="1" t="s">
        <v>168</v>
      </c>
      <c r="C36" s="1" t="s">
        <v>169</v>
      </c>
      <c r="D36" s="1" t="s">
        <v>47</v>
      </c>
      <c r="E36" s="1" t="s">
        <v>170</v>
      </c>
      <c r="F36" s="1" t="s">
        <v>171</v>
      </c>
      <c r="G36" s="1" t="s">
        <v>35</v>
      </c>
      <c r="H36" s="1" t="s">
        <v>66</v>
      </c>
      <c r="I36" s="1" t="s">
        <v>67</v>
      </c>
      <c r="J36" s="1" t="s">
        <v>172</v>
      </c>
      <c r="K36" s="1" t="s">
        <v>69</v>
      </c>
      <c r="L36" s="21">
        <v>45462</v>
      </c>
      <c r="M36" s="1" t="s">
        <v>159</v>
      </c>
      <c r="N36" s="21">
        <v>45469</v>
      </c>
      <c r="O36" s="1" t="s">
        <v>160</v>
      </c>
    </row>
    <row r="37" spans="1:15" ht="21" customHeight="1" x14ac:dyDescent="0.45">
      <c r="A37" s="1" t="s">
        <v>28</v>
      </c>
      <c r="B37" s="1" t="s">
        <v>62</v>
      </c>
      <c r="C37" s="1" t="s">
        <v>173</v>
      </c>
      <c r="D37" s="1" t="s">
        <v>47</v>
      </c>
      <c r="E37" s="1" t="s">
        <v>174</v>
      </c>
      <c r="F37" s="1" t="s">
        <v>175</v>
      </c>
      <c r="G37" s="1" t="s">
        <v>30</v>
      </c>
      <c r="H37" s="1" t="s">
        <v>88</v>
      </c>
      <c r="I37" s="1" t="s">
        <v>82</v>
      </c>
      <c r="J37" s="1" t="s">
        <v>102</v>
      </c>
      <c r="K37" s="1" t="s">
        <v>116</v>
      </c>
      <c r="L37" s="21">
        <v>45464</v>
      </c>
      <c r="M37" s="1" t="s">
        <v>70</v>
      </c>
      <c r="N37" s="21">
        <v>45471</v>
      </c>
      <c r="O37" s="1" t="s">
        <v>71</v>
      </c>
    </row>
    <row r="38" spans="1:15" ht="21" customHeight="1" x14ac:dyDescent="0.45">
      <c r="A38" s="1" t="s">
        <v>28</v>
      </c>
      <c r="B38" s="1" t="s">
        <v>45</v>
      </c>
      <c r="C38" s="1" t="s">
        <v>176</v>
      </c>
      <c r="D38" s="1" t="s">
        <v>47</v>
      </c>
      <c r="E38" s="1" t="s">
        <v>177</v>
      </c>
      <c r="F38" s="1" t="s">
        <v>178</v>
      </c>
      <c r="G38" s="1" t="s">
        <v>33</v>
      </c>
      <c r="H38" s="1" t="s">
        <v>59</v>
      </c>
      <c r="I38" s="1" t="s">
        <v>51</v>
      </c>
      <c r="J38" s="1" t="s">
        <v>52</v>
      </c>
      <c r="K38" s="1" t="s">
        <v>53</v>
      </c>
      <c r="L38" s="21">
        <v>45453</v>
      </c>
      <c r="M38" s="1" t="s">
        <v>60</v>
      </c>
      <c r="N38" s="21">
        <v>45467</v>
      </c>
      <c r="O38" s="1" t="s">
        <v>61</v>
      </c>
    </row>
    <row r="39" spans="1:15" ht="21" customHeight="1" x14ac:dyDescent="0.45">
      <c r="A39" s="1" t="s">
        <v>28</v>
      </c>
      <c r="B39" s="1" t="s">
        <v>62</v>
      </c>
      <c r="C39" s="1" t="s">
        <v>179</v>
      </c>
      <c r="D39" s="1" t="s">
        <v>47</v>
      </c>
      <c r="E39" s="1" t="s">
        <v>180</v>
      </c>
      <c r="F39" s="1" t="s">
        <v>181</v>
      </c>
      <c r="G39" s="1" t="s">
        <v>31</v>
      </c>
      <c r="H39" s="1" t="s">
        <v>66</v>
      </c>
      <c r="I39" s="1" t="s">
        <v>67</v>
      </c>
      <c r="J39" s="1" t="s">
        <v>75</v>
      </c>
      <c r="K39" s="1" t="s">
        <v>69</v>
      </c>
      <c r="L39" s="21">
        <v>45463</v>
      </c>
      <c r="M39" s="1" t="s">
        <v>128</v>
      </c>
      <c r="N39" s="21">
        <v>45470</v>
      </c>
      <c r="O39" s="1" t="s">
        <v>129</v>
      </c>
    </row>
    <row r="40" spans="1:15" ht="21" customHeight="1" x14ac:dyDescent="0.45">
      <c r="A40" s="1" t="s">
        <v>28</v>
      </c>
      <c r="B40" s="1" t="s">
        <v>62</v>
      </c>
      <c r="C40" s="1" t="s">
        <v>182</v>
      </c>
      <c r="D40" s="1" t="s">
        <v>99</v>
      </c>
      <c r="E40" s="1" t="s">
        <v>183</v>
      </c>
      <c r="F40" s="1" t="s">
        <v>184</v>
      </c>
      <c r="G40" s="1" t="s">
        <v>31</v>
      </c>
      <c r="H40" s="1" t="s">
        <v>66</v>
      </c>
      <c r="I40" s="1" t="s">
        <v>67</v>
      </c>
      <c r="J40" s="1" t="s">
        <v>102</v>
      </c>
      <c r="K40" s="1" t="s">
        <v>69</v>
      </c>
      <c r="L40" s="21">
        <v>45463</v>
      </c>
      <c r="M40" s="1" t="s">
        <v>103</v>
      </c>
      <c r="N40" s="21">
        <v>45470</v>
      </c>
      <c r="O40" s="1" t="s">
        <v>104</v>
      </c>
    </row>
    <row r="41" spans="1:15" ht="21" customHeight="1" x14ac:dyDescent="0.45">
      <c r="A41" s="1" t="s">
        <v>28</v>
      </c>
      <c r="B41" s="1" t="s">
        <v>62</v>
      </c>
      <c r="C41" s="1" t="s">
        <v>63</v>
      </c>
      <c r="D41" s="1" t="s">
        <v>47</v>
      </c>
      <c r="E41" s="1" t="s">
        <v>185</v>
      </c>
      <c r="F41" s="1" t="s">
        <v>186</v>
      </c>
      <c r="G41" s="1" t="s">
        <v>38</v>
      </c>
      <c r="H41" s="1" t="s">
        <v>81</v>
      </c>
      <c r="I41" s="1" t="s">
        <v>82</v>
      </c>
      <c r="J41" s="1" t="s">
        <v>83</v>
      </c>
      <c r="K41" s="1" t="s">
        <v>84</v>
      </c>
      <c r="L41" s="21">
        <v>45464</v>
      </c>
      <c r="M41" s="1" t="s">
        <v>70</v>
      </c>
      <c r="N41" s="21">
        <v>45471</v>
      </c>
      <c r="O41" s="1" t="s">
        <v>71</v>
      </c>
    </row>
    <row r="42" spans="1:15" ht="21" customHeight="1" x14ac:dyDescent="0.45">
      <c r="A42" s="1" t="s">
        <v>28</v>
      </c>
      <c r="B42" s="1" t="s">
        <v>62</v>
      </c>
      <c r="C42" s="1" t="s">
        <v>187</v>
      </c>
      <c r="D42" s="1" t="s">
        <v>99</v>
      </c>
      <c r="E42" s="1" t="s">
        <v>188</v>
      </c>
      <c r="F42" s="1" t="s">
        <v>189</v>
      </c>
      <c r="G42" s="1" t="s">
        <v>31</v>
      </c>
      <c r="H42" s="1" t="s">
        <v>66</v>
      </c>
      <c r="I42" s="1" t="s">
        <v>67</v>
      </c>
      <c r="J42" s="1" t="s">
        <v>154</v>
      </c>
      <c r="K42" s="1" t="s">
        <v>69</v>
      </c>
      <c r="L42" s="21">
        <v>45463</v>
      </c>
      <c r="M42" s="1" t="s">
        <v>103</v>
      </c>
      <c r="N42" s="21">
        <v>45470</v>
      </c>
      <c r="O42" s="1" t="s">
        <v>104</v>
      </c>
    </row>
    <row r="43" spans="1:15" ht="21" customHeight="1" x14ac:dyDescent="0.45">
      <c r="A43" s="1" t="s">
        <v>28</v>
      </c>
      <c r="B43" s="1" t="s">
        <v>62</v>
      </c>
      <c r="C43" s="1" t="s">
        <v>190</v>
      </c>
      <c r="D43" s="1" t="s">
        <v>47</v>
      </c>
      <c r="E43" s="1" t="s">
        <v>191</v>
      </c>
      <c r="F43" s="1" t="s">
        <v>192</v>
      </c>
      <c r="G43" s="1" t="s">
        <v>31</v>
      </c>
      <c r="H43" s="1" t="s">
        <v>66</v>
      </c>
      <c r="I43" s="1" t="s">
        <v>67</v>
      </c>
      <c r="J43" s="1" t="s">
        <v>193</v>
      </c>
      <c r="K43" s="1" t="s">
        <v>127</v>
      </c>
      <c r="L43" s="21">
        <v>45463</v>
      </c>
      <c r="M43" s="1" t="s">
        <v>128</v>
      </c>
      <c r="N43" s="21">
        <v>45470</v>
      </c>
      <c r="O43" s="1" t="s">
        <v>129</v>
      </c>
    </row>
    <row r="44" spans="1:15" ht="21" customHeight="1" x14ac:dyDescent="0.45">
      <c r="A44" s="1" t="s">
        <v>28</v>
      </c>
      <c r="B44" s="1" t="s">
        <v>62</v>
      </c>
      <c r="C44" s="1" t="s">
        <v>194</v>
      </c>
      <c r="D44" s="1" t="s">
        <v>47</v>
      </c>
      <c r="E44" s="1" t="s">
        <v>195</v>
      </c>
      <c r="F44" s="1" t="s">
        <v>196</v>
      </c>
      <c r="G44" s="1" t="s">
        <v>31</v>
      </c>
      <c r="H44" s="1" t="s">
        <v>66</v>
      </c>
      <c r="I44" s="1" t="s">
        <v>67</v>
      </c>
      <c r="J44" s="1" t="s">
        <v>158</v>
      </c>
      <c r="K44" s="1" t="s">
        <v>69</v>
      </c>
      <c r="L44" s="21">
        <v>45463</v>
      </c>
      <c r="M44" s="1" t="s">
        <v>128</v>
      </c>
      <c r="N44" s="21">
        <v>45470</v>
      </c>
      <c r="O44" s="1" t="s">
        <v>129</v>
      </c>
    </row>
    <row r="45" spans="1:15" ht="21" customHeight="1" x14ac:dyDescent="0.45">
      <c r="A45" s="1" t="s">
        <v>28</v>
      </c>
      <c r="B45" s="1" t="s">
        <v>62</v>
      </c>
      <c r="C45" s="1" t="s">
        <v>197</v>
      </c>
      <c r="D45" s="1" t="s">
        <v>47</v>
      </c>
      <c r="E45" s="1" t="s">
        <v>198</v>
      </c>
      <c r="F45" s="1" t="s">
        <v>199</v>
      </c>
      <c r="G45" s="1" t="s">
        <v>29</v>
      </c>
      <c r="H45" s="1" t="s">
        <v>200</v>
      </c>
      <c r="I45" s="1" t="s">
        <v>51</v>
      </c>
      <c r="J45" s="1" t="s">
        <v>201</v>
      </c>
      <c r="K45" s="1" t="s">
        <v>202</v>
      </c>
      <c r="L45" s="21">
        <v>45464</v>
      </c>
      <c r="M45" s="1" t="s">
        <v>70</v>
      </c>
      <c r="N45" s="21">
        <v>45471</v>
      </c>
      <c r="O45" s="1" t="s">
        <v>71</v>
      </c>
    </row>
    <row r="46" spans="1:15" ht="21" customHeight="1" x14ac:dyDescent="0.45">
      <c r="A46" s="1" t="s">
        <v>28</v>
      </c>
      <c r="B46" s="1" t="s">
        <v>62</v>
      </c>
      <c r="C46" s="1" t="s">
        <v>203</v>
      </c>
      <c r="D46" s="1" t="s">
        <v>47</v>
      </c>
      <c r="E46" s="1" t="s">
        <v>204</v>
      </c>
      <c r="F46" s="1" t="s">
        <v>205</v>
      </c>
      <c r="G46" s="1" t="s">
        <v>35</v>
      </c>
      <c r="H46" s="1" t="s">
        <v>66</v>
      </c>
      <c r="I46" s="1" t="s">
        <v>67</v>
      </c>
      <c r="J46" s="1" t="s">
        <v>206</v>
      </c>
      <c r="K46" s="1" t="s">
        <v>69</v>
      </c>
      <c r="L46" s="21">
        <v>45460</v>
      </c>
      <c r="M46" s="1" t="s">
        <v>60</v>
      </c>
      <c r="N46" s="21">
        <v>45467</v>
      </c>
      <c r="O46" s="1" t="s">
        <v>108</v>
      </c>
    </row>
    <row r="47" spans="1:15" ht="21" customHeight="1" x14ac:dyDescent="0.45">
      <c r="A47" s="1" t="s">
        <v>28</v>
      </c>
      <c r="B47" s="1" t="s">
        <v>62</v>
      </c>
      <c r="C47" s="1" t="s">
        <v>207</v>
      </c>
      <c r="D47" s="1" t="s">
        <v>99</v>
      </c>
      <c r="E47" s="1" t="s">
        <v>208</v>
      </c>
      <c r="F47" s="1" t="s">
        <v>209</v>
      </c>
      <c r="G47" s="1" t="s">
        <v>31</v>
      </c>
      <c r="H47" s="1" t="s">
        <v>66</v>
      </c>
      <c r="I47" s="1" t="s">
        <v>67</v>
      </c>
      <c r="J47" s="1" t="s">
        <v>102</v>
      </c>
      <c r="K47" s="1" t="s">
        <v>69</v>
      </c>
      <c r="L47" s="21">
        <v>45463</v>
      </c>
      <c r="M47" s="1" t="s">
        <v>103</v>
      </c>
      <c r="N47" s="21">
        <v>45470</v>
      </c>
      <c r="O47" s="1" t="s">
        <v>104</v>
      </c>
    </row>
    <row r="48" spans="1:15" ht="21" customHeight="1" x14ac:dyDescent="0.45">
      <c r="A48" s="1" t="s">
        <v>28</v>
      </c>
      <c r="B48" s="1" t="s">
        <v>45</v>
      </c>
      <c r="C48" s="1" t="s">
        <v>210</v>
      </c>
      <c r="D48" s="1" t="s">
        <v>47</v>
      </c>
      <c r="E48" s="1" t="s">
        <v>211</v>
      </c>
      <c r="F48" s="1" t="s">
        <v>212</v>
      </c>
      <c r="G48" s="1" t="s">
        <v>33</v>
      </c>
      <c r="H48" s="1" t="s">
        <v>59</v>
      </c>
      <c r="I48" s="1" t="s">
        <v>51</v>
      </c>
      <c r="J48" s="1" t="s">
        <v>52</v>
      </c>
      <c r="K48" s="1" t="s">
        <v>53</v>
      </c>
      <c r="L48" s="21">
        <v>45461</v>
      </c>
      <c r="M48" s="1" t="s">
        <v>123</v>
      </c>
      <c r="N48" s="21">
        <v>45467</v>
      </c>
      <c r="O48" s="1" t="s">
        <v>61</v>
      </c>
    </row>
    <row r="49" spans="1:15" ht="21" customHeight="1" x14ac:dyDescent="0.45">
      <c r="A49" s="1" t="s">
        <v>28</v>
      </c>
      <c r="B49" s="1" t="s">
        <v>62</v>
      </c>
      <c r="C49" s="1" t="s">
        <v>213</v>
      </c>
      <c r="D49" s="1" t="s">
        <v>47</v>
      </c>
      <c r="E49" s="1" t="s">
        <v>214</v>
      </c>
      <c r="F49" s="1" t="s">
        <v>215</v>
      </c>
      <c r="G49" s="1" t="s">
        <v>37</v>
      </c>
      <c r="H49" s="1" t="s">
        <v>66</v>
      </c>
      <c r="I49" s="1" t="s">
        <v>67</v>
      </c>
      <c r="J49" s="1" t="s">
        <v>112</v>
      </c>
      <c r="K49" s="1" t="s">
        <v>216</v>
      </c>
      <c r="L49" s="21">
        <v>45464</v>
      </c>
      <c r="M49" s="1" t="s">
        <v>70</v>
      </c>
      <c r="N49" s="21">
        <v>45470</v>
      </c>
      <c r="O49" s="1" t="s">
        <v>129</v>
      </c>
    </row>
    <row r="50" spans="1:15" ht="21" customHeight="1" x14ac:dyDescent="0.45">
      <c r="A50" s="1" t="s">
        <v>28</v>
      </c>
      <c r="B50" s="1" t="s">
        <v>62</v>
      </c>
      <c r="C50" s="1" t="s">
        <v>217</v>
      </c>
      <c r="D50" s="1" t="s">
        <v>47</v>
      </c>
      <c r="E50" s="1" t="s">
        <v>218</v>
      </c>
      <c r="F50" s="1" t="s">
        <v>219</v>
      </c>
      <c r="G50" s="1" t="s">
        <v>32</v>
      </c>
      <c r="H50" s="1" t="s">
        <v>220</v>
      </c>
      <c r="I50" s="1" t="s">
        <v>165</v>
      </c>
      <c r="J50" s="1" t="s">
        <v>75</v>
      </c>
      <c r="K50" s="1" t="s">
        <v>221</v>
      </c>
      <c r="L50" s="21">
        <v>45463</v>
      </c>
      <c r="M50" s="1" t="s">
        <v>128</v>
      </c>
      <c r="N50" s="21">
        <v>45470</v>
      </c>
      <c r="O50" s="1" t="s">
        <v>129</v>
      </c>
    </row>
    <row r="51" spans="1:15" ht="21" customHeight="1" x14ac:dyDescent="0.45">
      <c r="A51" s="1" t="s">
        <v>28</v>
      </c>
      <c r="B51" s="1" t="s">
        <v>62</v>
      </c>
      <c r="C51" s="1" t="s">
        <v>222</v>
      </c>
      <c r="D51" s="1" t="s">
        <v>47</v>
      </c>
      <c r="E51" s="1" t="s">
        <v>223</v>
      </c>
      <c r="F51" s="1" t="s">
        <v>224</v>
      </c>
      <c r="G51" s="1" t="s">
        <v>31</v>
      </c>
      <c r="H51" s="1" t="s">
        <v>66</v>
      </c>
      <c r="I51" s="1" t="s">
        <v>67</v>
      </c>
      <c r="J51" s="1" t="s">
        <v>158</v>
      </c>
      <c r="K51" s="1" t="s">
        <v>69</v>
      </c>
      <c r="L51" s="21">
        <v>45463</v>
      </c>
      <c r="M51" s="1" t="s">
        <v>128</v>
      </c>
      <c r="N51" s="21">
        <v>45470</v>
      </c>
      <c r="O51" s="1" t="s">
        <v>129</v>
      </c>
    </row>
    <row r="52" spans="1:15" ht="21" customHeight="1" x14ac:dyDescent="0.45">
      <c r="A52" s="1" t="s">
        <v>28</v>
      </c>
      <c r="B52" s="1" t="s">
        <v>62</v>
      </c>
      <c r="C52" s="1" t="s">
        <v>225</v>
      </c>
      <c r="D52" s="1" t="s">
        <v>47</v>
      </c>
      <c r="E52" s="1" t="s">
        <v>226</v>
      </c>
      <c r="F52" s="1" t="s">
        <v>227</v>
      </c>
      <c r="G52" s="1" t="s">
        <v>29</v>
      </c>
      <c r="H52" s="1" t="s">
        <v>200</v>
      </c>
      <c r="I52" s="1" t="s">
        <v>82</v>
      </c>
      <c r="J52" s="1" t="s">
        <v>201</v>
      </c>
      <c r="K52" s="1" t="s">
        <v>202</v>
      </c>
      <c r="L52" s="21">
        <v>45464</v>
      </c>
      <c r="M52" s="1" t="s">
        <v>70</v>
      </c>
      <c r="N52" s="21">
        <v>45471</v>
      </c>
      <c r="O52" s="1" t="s">
        <v>71</v>
      </c>
    </row>
    <row r="53" spans="1:15" ht="21" customHeight="1" x14ac:dyDescent="0.45">
      <c r="A53" s="1" t="s">
        <v>28</v>
      </c>
      <c r="B53" s="1" t="s">
        <v>62</v>
      </c>
      <c r="C53" s="1" t="s">
        <v>85</v>
      </c>
      <c r="D53" s="1" t="s">
        <v>47</v>
      </c>
      <c r="E53" s="1" t="s">
        <v>228</v>
      </c>
      <c r="F53" s="1" t="s">
        <v>229</v>
      </c>
      <c r="G53" s="1" t="s">
        <v>30</v>
      </c>
      <c r="H53" s="1" t="s">
        <v>88</v>
      </c>
      <c r="I53" s="1" t="s">
        <v>82</v>
      </c>
      <c r="J53" s="1" t="s">
        <v>89</v>
      </c>
      <c r="K53" s="1" t="s">
        <v>90</v>
      </c>
      <c r="L53" s="21">
        <v>45460</v>
      </c>
      <c r="M53" s="1" t="s">
        <v>60</v>
      </c>
      <c r="N53" s="21">
        <v>45464</v>
      </c>
      <c r="O53" s="1" t="s">
        <v>71</v>
      </c>
    </row>
    <row r="54" spans="1:15" ht="21" customHeight="1" x14ac:dyDescent="0.45">
      <c r="A54" s="1" t="s">
        <v>28</v>
      </c>
      <c r="B54" s="1" t="s">
        <v>230</v>
      </c>
      <c r="C54" s="1" t="s">
        <v>231</v>
      </c>
      <c r="D54" s="1" t="s">
        <v>47</v>
      </c>
      <c r="E54" s="1" t="s">
        <v>232</v>
      </c>
      <c r="F54" s="1" t="s">
        <v>233</v>
      </c>
      <c r="G54" s="1" t="s">
        <v>31</v>
      </c>
      <c r="H54" s="1" t="s">
        <v>66</v>
      </c>
      <c r="I54" s="1" t="s">
        <v>67</v>
      </c>
      <c r="J54" s="1" t="s">
        <v>68</v>
      </c>
      <c r="K54" s="1" t="s">
        <v>234</v>
      </c>
      <c r="L54" s="21">
        <v>45462</v>
      </c>
      <c r="M54" s="1" t="s">
        <v>159</v>
      </c>
      <c r="N54" s="21">
        <v>45471</v>
      </c>
      <c r="O54" s="1" t="s">
        <v>71</v>
      </c>
    </row>
    <row r="55" spans="1:15" ht="21" customHeight="1" x14ac:dyDescent="0.45">
      <c r="A55" s="1" t="s">
        <v>28</v>
      </c>
      <c r="B55" s="1" t="s">
        <v>62</v>
      </c>
      <c r="C55" s="1" t="s">
        <v>235</v>
      </c>
      <c r="D55" s="1" t="s">
        <v>47</v>
      </c>
      <c r="E55" s="1" t="s">
        <v>236</v>
      </c>
      <c r="F55" s="1" t="s">
        <v>237</v>
      </c>
      <c r="G55" s="1" t="s">
        <v>35</v>
      </c>
      <c r="H55" s="1" t="s">
        <v>66</v>
      </c>
      <c r="I55" s="1" t="s">
        <v>67</v>
      </c>
      <c r="J55" s="1" t="s">
        <v>206</v>
      </c>
      <c r="K55" s="1" t="s">
        <v>69</v>
      </c>
      <c r="L55" s="21">
        <v>45460</v>
      </c>
      <c r="M55" s="1" t="s">
        <v>60</v>
      </c>
      <c r="N55" s="21">
        <v>45467</v>
      </c>
      <c r="O55" s="1" t="s">
        <v>108</v>
      </c>
    </row>
    <row r="56" spans="1:15" ht="21" customHeight="1" x14ac:dyDescent="0.45">
      <c r="A56" s="1" t="s">
        <v>28</v>
      </c>
      <c r="B56" s="1" t="s">
        <v>230</v>
      </c>
      <c r="C56" s="1" t="s">
        <v>238</v>
      </c>
      <c r="D56" s="1" t="s">
        <v>47</v>
      </c>
      <c r="E56" s="1" t="s">
        <v>239</v>
      </c>
      <c r="F56" s="1" t="s">
        <v>240</v>
      </c>
      <c r="G56" s="1" t="s">
        <v>39</v>
      </c>
      <c r="H56" s="1" t="s">
        <v>50</v>
      </c>
      <c r="I56" s="1" t="s">
        <v>51</v>
      </c>
      <c r="J56" s="1" t="s">
        <v>52</v>
      </c>
      <c r="K56" s="1" t="s">
        <v>53</v>
      </c>
      <c r="L56" s="21">
        <v>45454</v>
      </c>
      <c r="M56" s="1" t="s">
        <v>54</v>
      </c>
      <c r="N56" s="21">
        <v>45468</v>
      </c>
      <c r="O56" s="1" t="s">
        <v>55</v>
      </c>
    </row>
    <row r="57" spans="1:15" ht="21" customHeight="1" x14ac:dyDescent="0.45">
      <c r="A57" s="1" t="s">
        <v>28</v>
      </c>
      <c r="B57" s="1" t="s">
        <v>62</v>
      </c>
      <c r="C57" s="1" t="s">
        <v>241</v>
      </c>
      <c r="D57" s="1" t="s">
        <v>47</v>
      </c>
      <c r="E57" s="1" t="s">
        <v>242</v>
      </c>
      <c r="F57" s="1" t="s">
        <v>243</v>
      </c>
      <c r="G57" s="1" t="s">
        <v>37</v>
      </c>
      <c r="H57" s="1" t="s">
        <v>66</v>
      </c>
      <c r="I57" s="1" t="s">
        <v>67</v>
      </c>
      <c r="J57" s="1" t="s">
        <v>244</v>
      </c>
      <c r="K57" s="1" t="s">
        <v>245</v>
      </c>
      <c r="L57" s="21">
        <v>45460</v>
      </c>
      <c r="M57" s="1" t="s">
        <v>60</v>
      </c>
      <c r="N57" s="21">
        <v>45467</v>
      </c>
      <c r="O57" s="1" t="s">
        <v>108</v>
      </c>
    </row>
    <row r="58" spans="1:15" ht="21" customHeight="1" x14ac:dyDescent="0.45">
      <c r="A58" s="1" t="s">
        <v>28</v>
      </c>
      <c r="B58" s="1" t="s">
        <v>45</v>
      </c>
      <c r="C58" s="1" t="s">
        <v>246</v>
      </c>
      <c r="D58" s="1" t="s">
        <v>47</v>
      </c>
      <c r="E58" s="1" t="s">
        <v>247</v>
      </c>
      <c r="F58" s="1" t="s">
        <v>248</v>
      </c>
      <c r="G58" s="1" t="s">
        <v>39</v>
      </c>
      <c r="H58" s="1" t="s">
        <v>50</v>
      </c>
      <c r="I58" s="1" t="s">
        <v>51</v>
      </c>
      <c r="J58" s="1" t="s">
        <v>52</v>
      </c>
      <c r="K58" s="1" t="s">
        <v>53</v>
      </c>
      <c r="L58" s="21">
        <v>45454</v>
      </c>
      <c r="M58" s="1" t="s">
        <v>54</v>
      </c>
      <c r="N58" s="21">
        <v>45468</v>
      </c>
      <c r="O58" s="1" t="s">
        <v>55</v>
      </c>
    </row>
    <row r="59" spans="1:15" ht="21" customHeight="1" x14ac:dyDescent="0.45">
      <c r="A59" s="1" t="s">
        <v>28</v>
      </c>
      <c r="B59" s="1" t="s">
        <v>62</v>
      </c>
      <c r="C59" s="1" t="s">
        <v>249</v>
      </c>
      <c r="D59" s="1" t="s">
        <v>47</v>
      </c>
      <c r="E59" s="1" t="s">
        <v>250</v>
      </c>
      <c r="F59" s="1" t="s">
        <v>251</v>
      </c>
      <c r="G59" s="1" t="s">
        <v>31</v>
      </c>
      <c r="H59" s="1" t="s">
        <v>66</v>
      </c>
      <c r="I59" s="1" t="s">
        <v>67</v>
      </c>
      <c r="J59" s="1" t="s">
        <v>158</v>
      </c>
      <c r="K59" s="1" t="s">
        <v>69</v>
      </c>
      <c r="L59" s="21">
        <v>45464</v>
      </c>
      <c r="M59" s="1" t="s">
        <v>70</v>
      </c>
      <c r="N59" s="21">
        <v>45470</v>
      </c>
      <c r="O59" s="1" t="s">
        <v>129</v>
      </c>
    </row>
    <row r="60" spans="1:15" ht="21" customHeight="1" x14ac:dyDescent="0.45">
      <c r="A60" s="1" t="s">
        <v>28</v>
      </c>
      <c r="B60" s="1" t="s">
        <v>45</v>
      </c>
      <c r="C60" s="1" t="s">
        <v>252</v>
      </c>
      <c r="D60" s="1" t="s">
        <v>47</v>
      </c>
      <c r="E60" s="1" t="s">
        <v>253</v>
      </c>
      <c r="F60" s="1" t="s">
        <v>254</v>
      </c>
      <c r="G60" s="1" t="s">
        <v>39</v>
      </c>
      <c r="H60" s="1" t="s">
        <v>50</v>
      </c>
      <c r="I60" s="1" t="s">
        <v>51</v>
      </c>
      <c r="J60" s="1" t="s">
        <v>52</v>
      </c>
      <c r="K60" s="1" t="s">
        <v>53</v>
      </c>
      <c r="L60" s="21">
        <v>45454</v>
      </c>
      <c r="M60" s="1" t="s">
        <v>54</v>
      </c>
      <c r="N60" s="21">
        <v>45468</v>
      </c>
      <c r="O60" s="1" t="s">
        <v>55</v>
      </c>
    </row>
    <row r="61" spans="1:15" ht="21" customHeight="1" x14ac:dyDescent="0.45">
      <c r="A61" s="1" t="s">
        <v>28</v>
      </c>
      <c r="B61" s="1" t="s">
        <v>62</v>
      </c>
      <c r="C61" s="1" t="s">
        <v>255</v>
      </c>
      <c r="D61" s="1" t="s">
        <v>99</v>
      </c>
      <c r="E61" s="1" t="s">
        <v>256</v>
      </c>
      <c r="F61" s="1" t="s">
        <v>257</v>
      </c>
      <c r="G61" s="1" t="s">
        <v>31</v>
      </c>
      <c r="H61" s="1" t="s">
        <v>66</v>
      </c>
      <c r="I61" s="1" t="s">
        <v>67</v>
      </c>
      <c r="J61" s="1" t="s">
        <v>158</v>
      </c>
      <c r="K61" s="1" t="s">
        <v>69</v>
      </c>
      <c r="L61" s="21">
        <v>45462</v>
      </c>
      <c r="M61" s="1" t="s">
        <v>258</v>
      </c>
      <c r="N61" s="21">
        <v>45469</v>
      </c>
      <c r="O61" s="1" t="s">
        <v>259</v>
      </c>
    </row>
    <row r="62" spans="1:15" ht="21" customHeight="1" x14ac:dyDescent="0.45">
      <c r="A62" s="1" t="s">
        <v>28</v>
      </c>
      <c r="B62" s="1" t="s">
        <v>260</v>
      </c>
      <c r="C62" s="1" t="s">
        <v>261</v>
      </c>
      <c r="D62" s="1" t="s">
        <v>47</v>
      </c>
      <c r="E62" s="1" t="s">
        <v>262</v>
      </c>
      <c r="F62" s="1" t="s">
        <v>263</v>
      </c>
      <c r="G62" s="1" t="s">
        <v>32</v>
      </c>
      <c r="H62" s="1" t="s">
        <v>264</v>
      </c>
      <c r="I62" s="1" t="s">
        <v>165</v>
      </c>
      <c r="J62" s="1" t="s">
        <v>83</v>
      </c>
      <c r="K62" s="1" t="s">
        <v>265</v>
      </c>
      <c r="L62" s="21">
        <v>45457</v>
      </c>
      <c r="M62" s="1" t="s">
        <v>70</v>
      </c>
      <c r="N62" s="21">
        <v>45464</v>
      </c>
      <c r="O62" s="1" t="s">
        <v>71</v>
      </c>
    </row>
    <row r="63" spans="1:15" ht="21" customHeight="1" x14ac:dyDescent="0.45">
      <c r="A63" s="1" t="s">
        <v>28</v>
      </c>
      <c r="B63" s="1" t="s">
        <v>45</v>
      </c>
      <c r="C63" s="1" t="s">
        <v>266</v>
      </c>
      <c r="D63" s="1" t="s">
        <v>47</v>
      </c>
      <c r="E63" s="1" t="s">
        <v>267</v>
      </c>
      <c r="F63" s="1" t="s">
        <v>268</v>
      </c>
      <c r="G63" s="1" t="s">
        <v>39</v>
      </c>
      <c r="H63" s="1" t="s">
        <v>50</v>
      </c>
      <c r="I63" s="1" t="s">
        <v>51</v>
      </c>
      <c r="J63" s="1" t="s">
        <v>52</v>
      </c>
      <c r="K63" s="1" t="s">
        <v>53</v>
      </c>
      <c r="L63" s="21">
        <v>45454</v>
      </c>
      <c r="M63" s="1" t="s">
        <v>54</v>
      </c>
      <c r="N63" s="21">
        <v>45468</v>
      </c>
      <c r="O63" s="1" t="s">
        <v>55</v>
      </c>
    </row>
    <row r="64" spans="1:15" ht="21" customHeight="1" x14ac:dyDescent="0.45">
      <c r="A64" s="1" t="s">
        <v>28</v>
      </c>
      <c r="B64" s="1" t="s">
        <v>62</v>
      </c>
      <c r="C64" s="1" t="s">
        <v>269</v>
      </c>
      <c r="D64" s="1" t="s">
        <v>99</v>
      </c>
      <c r="E64" s="1" t="s">
        <v>270</v>
      </c>
      <c r="F64" s="1" t="s">
        <v>271</v>
      </c>
      <c r="G64" s="1" t="s">
        <v>31</v>
      </c>
      <c r="H64" s="1" t="s">
        <v>66</v>
      </c>
      <c r="I64" s="1" t="s">
        <v>67</v>
      </c>
      <c r="J64" s="1" t="s">
        <v>102</v>
      </c>
      <c r="K64" s="1" t="s">
        <v>69</v>
      </c>
      <c r="L64" s="21">
        <v>45463</v>
      </c>
      <c r="M64" s="1" t="s">
        <v>103</v>
      </c>
      <c r="N64" s="21">
        <v>45469</v>
      </c>
      <c r="O64" s="1" t="s">
        <v>259</v>
      </c>
    </row>
    <row r="65" spans="1:15" ht="21" customHeight="1" x14ac:dyDescent="0.45">
      <c r="A65" s="1" t="s">
        <v>28</v>
      </c>
      <c r="B65" s="1" t="s">
        <v>45</v>
      </c>
      <c r="C65" s="1" t="s">
        <v>272</v>
      </c>
      <c r="D65" s="1" t="s">
        <v>47</v>
      </c>
      <c r="E65" s="1" t="s">
        <v>273</v>
      </c>
      <c r="F65" s="1" t="s">
        <v>274</v>
      </c>
      <c r="G65" s="1" t="s">
        <v>33</v>
      </c>
      <c r="H65" s="1" t="s">
        <v>59</v>
      </c>
      <c r="I65" s="1" t="s">
        <v>51</v>
      </c>
      <c r="J65" s="1" t="s">
        <v>52</v>
      </c>
      <c r="K65" s="1" t="s">
        <v>53</v>
      </c>
      <c r="L65" s="21">
        <v>45453</v>
      </c>
      <c r="M65" s="1" t="s">
        <v>60</v>
      </c>
      <c r="N65" s="21">
        <v>45467</v>
      </c>
      <c r="O65" s="1" t="s">
        <v>61</v>
      </c>
    </row>
    <row r="66" spans="1:15" ht="21" customHeight="1" x14ac:dyDescent="0.45">
      <c r="A66" s="1" t="s">
        <v>28</v>
      </c>
      <c r="B66" s="1" t="s">
        <v>45</v>
      </c>
      <c r="C66" s="1" t="s">
        <v>275</v>
      </c>
      <c r="D66" s="1" t="s">
        <v>47</v>
      </c>
      <c r="E66" s="1" t="s">
        <v>276</v>
      </c>
      <c r="F66" s="1" t="s">
        <v>277</v>
      </c>
      <c r="G66" s="1" t="s">
        <v>39</v>
      </c>
      <c r="H66" s="1" t="s">
        <v>50</v>
      </c>
      <c r="I66" s="1" t="s">
        <v>51</v>
      </c>
      <c r="J66" s="1" t="s">
        <v>52</v>
      </c>
      <c r="K66" s="1" t="s">
        <v>53</v>
      </c>
      <c r="L66" s="21">
        <v>45454</v>
      </c>
      <c r="M66" s="1" t="s">
        <v>54</v>
      </c>
      <c r="N66" s="21">
        <v>45468</v>
      </c>
      <c r="O66" s="1" t="s">
        <v>55</v>
      </c>
    </row>
    <row r="67" spans="1:15" ht="21" customHeight="1" x14ac:dyDescent="0.45">
      <c r="A67" s="1" t="s">
        <v>28</v>
      </c>
      <c r="B67" s="1" t="s">
        <v>62</v>
      </c>
      <c r="C67" s="1" t="s">
        <v>78</v>
      </c>
      <c r="D67" s="1" t="s">
        <v>47</v>
      </c>
      <c r="E67" s="1" t="s">
        <v>278</v>
      </c>
      <c r="F67" s="1" t="s">
        <v>279</v>
      </c>
      <c r="G67" s="1" t="s">
        <v>38</v>
      </c>
      <c r="H67" s="1" t="s">
        <v>81</v>
      </c>
      <c r="I67" s="1" t="s">
        <v>82</v>
      </c>
      <c r="J67" s="1" t="s">
        <v>83</v>
      </c>
      <c r="K67" s="1" t="s">
        <v>84</v>
      </c>
      <c r="L67" s="21">
        <v>45457</v>
      </c>
      <c r="M67" s="1" t="s">
        <v>70</v>
      </c>
      <c r="N67" s="21">
        <v>45464</v>
      </c>
      <c r="O67" s="1" t="s">
        <v>71</v>
      </c>
    </row>
    <row r="68" spans="1:15" ht="21" customHeight="1" x14ac:dyDescent="0.45">
      <c r="A68" s="1" t="s">
        <v>28</v>
      </c>
      <c r="B68" s="1" t="s">
        <v>62</v>
      </c>
      <c r="C68" s="1" t="s">
        <v>117</v>
      </c>
      <c r="D68" s="1" t="s">
        <v>47</v>
      </c>
      <c r="E68" s="1" t="s">
        <v>280</v>
      </c>
      <c r="F68" s="1" t="s">
        <v>281</v>
      </c>
      <c r="G68" s="1" t="s">
        <v>38</v>
      </c>
      <c r="H68" s="1" t="s">
        <v>81</v>
      </c>
      <c r="I68" s="1" t="s">
        <v>82</v>
      </c>
      <c r="J68" s="1" t="s">
        <v>83</v>
      </c>
      <c r="K68" s="1" t="s">
        <v>84</v>
      </c>
      <c r="L68" s="21">
        <v>45457</v>
      </c>
      <c r="M68" s="1" t="s">
        <v>70</v>
      </c>
      <c r="N68" s="21">
        <v>45464</v>
      </c>
      <c r="O68" s="1" t="s">
        <v>71</v>
      </c>
    </row>
    <row r="69" spans="1:15" ht="21" customHeight="1" x14ac:dyDescent="0.45">
      <c r="A69" s="1" t="s">
        <v>28</v>
      </c>
      <c r="B69" s="1" t="s">
        <v>62</v>
      </c>
      <c r="C69" s="1" t="s">
        <v>109</v>
      </c>
      <c r="D69" s="1" t="s">
        <v>47</v>
      </c>
      <c r="E69" s="1" t="s">
        <v>282</v>
      </c>
      <c r="F69" s="1" t="s">
        <v>283</v>
      </c>
      <c r="G69" s="1" t="s">
        <v>37</v>
      </c>
      <c r="H69" s="1" t="s">
        <v>66</v>
      </c>
      <c r="I69" s="1" t="s">
        <v>67</v>
      </c>
      <c r="J69" s="1" t="s">
        <v>284</v>
      </c>
      <c r="K69" s="1" t="s">
        <v>69</v>
      </c>
      <c r="L69" s="21">
        <v>45460</v>
      </c>
      <c r="M69" s="1" t="s">
        <v>60</v>
      </c>
      <c r="N69" s="21">
        <v>45464</v>
      </c>
      <c r="O69" s="1" t="s">
        <v>71</v>
      </c>
    </row>
    <row r="70" spans="1:15" ht="21" customHeight="1" x14ac:dyDescent="0.45">
      <c r="A70" s="1" t="s">
        <v>28</v>
      </c>
      <c r="B70" s="1" t="s">
        <v>62</v>
      </c>
      <c r="C70" s="1" t="s">
        <v>285</v>
      </c>
      <c r="D70" s="1" t="s">
        <v>47</v>
      </c>
      <c r="E70" s="1" t="s">
        <v>286</v>
      </c>
      <c r="F70" s="1" t="s">
        <v>287</v>
      </c>
      <c r="G70" s="1" t="s">
        <v>36</v>
      </c>
      <c r="H70" s="1" t="s">
        <v>288</v>
      </c>
      <c r="I70" s="1" t="s">
        <v>165</v>
      </c>
      <c r="J70" s="1" t="s">
        <v>289</v>
      </c>
      <c r="K70" s="1" t="s">
        <v>290</v>
      </c>
      <c r="L70" s="21">
        <v>45460</v>
      </c>
      <c r="M70" s="1" t="s">
        <v>60</v>
      </c>
      <c r="N70" s="21">
        <v>45467</v>
      </c>
      <c r="O70" s="1" t="s">
        <v>61</v>
      </c>
    </row>
    <row r="71" spans="1:15" ht="21" customHeight="1" x14ac:dyDescent="0.45">
      <c r="A71" s="1" t="s">
        <v>28</v>
      </c>
      <c r="B71" s="1" t="s">
        <v>45</v>
      </c>
      <c r="C71" s="1" t="s">
        <v>291</v>
      </c>
      <c r="D71" s="1" t="s">
        <v>47</v>
      </c>
      <c r="E71" s="1" t="s">
        <v>292</v>
      </c>
      <c r="F71" s="1" t="s">
        <v>293</v>
      </c>
      <c r="G71" s="1" t="s">
        <v>33</v>
      </c>
      <c r="H71" s="1" t="s">
        <v>59</v>
      </c>
      <c r="I71" s="1" t="s">
        <v>51</v>
      </c>
      <c r="J71" s="1" t="s">
        <v>52</v>
      </c>
      <c r="K71" s="1" t="s">
        <v>53</v>
      </c>
      <c r="L71" s="21">
        <v>45453</v>
      </c>
      <c r="M71" s="1" t="s">
        <v>60</v>
      </c>
      <c r="N71" s="21">
        <v>45467</v>
      </c>
      <c r="O71" s="1" t="s">
        <v>61</v>
      </c>
    </row>
    <row r="72" spans="1:15" ht="21" customHeight="1" x14ac:dyDescent="0.45">
      <c r="A72" s="1" t="s">
        <v>28</v>
      </c>
      <c r="B72" s="1" t="s">
        <v>62</v>
      </c>
      <c r="C72" s="1" t="s">
        <v>294</v>
      </c>
      <c r="D72" s="1" t="s">
        <v>47</v>
      </c>
      <c r="E72" s="1" t="s">
        <v>295</v>
      </c>
      <c r="F72" s="1" t="s">
        <v>296</v>
      </c>
      <c r="G72" s="1" t="s">
        <v>38</v>
      </c>
      <c r="H72" s="1" t="s">
        <v>81</v>
      </c>
      <c r="I72" s="1" t="s">
        <v>82</v>
      </c>
      <c r="J72" s="1" t="s">
        <v>83</v>
      </c>
      <c r="K72" s="1" t="s">
        <v>84</v>
      </c>
      <c r="L72" s="21">
        <v>45464</v>
      </c>
      <c r="M72" s="1" t="s">
        <v>70</v>
      </c>
      <c r="N72" s="21">
        <v>45471</v>
      </c>
      <c r="O72" s="1" t="s">
        <v>71</v>
      </c>
    </row>
    <row r="73" spans="1:15" ht="21" customHeight="1" x14ac:dyDescent="0.45">
      <c r="A73" s="1" t="s">
        <v>28</v>
      </c>
      <c r="B73" s="1" t="s">
        <v>62</v>
      </c>
      <c r="C73" s="1" t="s">
        <v>297</v>
      </c>
      <c r="D73" s="1" t="s">
        <v>47</v>
      </c>
      <c r="E73" s="1" t="s">
        <v>298</v>
      </c>
      <c r="F73" s="1" t="s">
        <v>299</v>
      </c>
      <c r="G73" s="1" t="s">
        <v>31</v>
      </c>
      <c r="H73" s="1" t="s">
        <v>66</v>
      </c>
      <c r="I73" s="1" t="s">
        <v>67</v>
      </c>
      <c r="J73" s="1" t="s">
        <v>75</v>
      </c>
      <c r="K73" s="1" t="s">
        <v>69</v>
      </c>
      <c r="L73" s="21">
        <v>45463</v>
      </c>
      <c r="M73" s="1" t="s">
        <v>128</v>
      </c>
      <c r="N73" s="21">
        <v>45470</v>
      </c>
      <c r="O73" s="1" t="s">
        <v>129</v>
      </c>
    </row>
    <row r="74" spans="1:15" ht="21" customHeight="1" x14ac:dyDescent="0.45">
      <c r="A74" s="1" t="s">
        <v>28</v>
      </c>
      <c r="B74" s="1" t="s">
        <v>62</v>
      </c>
      <c r="C74" s="1" t="s">
        <v>300</v>
      </c>
      <c r="D74" s="1" t="s">
        <v>47</v>
      </c>
      <c r="E74" s="1" t="s">
        <v>301</v>
      </c>
      <c r="F74" s="1" t="s">
        <v>302</v>
      </c>
      <c r="G74" s="1" t="s">
        <v>35</v>
      </c>
      <c r="H74" s="1" t="s">
        <v>66</v>
      </c>
      <c r="I74" s="1" t="s">
        <v>67</v>
      </c>
      <c r="J74" s="1" t="s">
        <v>172</v>
      </c>
      <c r="K74" s="1" t="s">
        <v>69</v>
      </c>
      <c r="L74" s="21">
        <v>45460</v>
      </c>
      <c r="M74" s="1" t="s">
        <v>60</v>
      </c>
      <c r="N74" s="21">
        <v>45467</v>
      </c>
      <c r="O74" s="1" t="s">
        <v>108</v>
      </c>
    </row>
    <row r="75" spans="1:15" ht="21" customHeight="1" x14ac:dyDescent="0.45">
      <c r="A75" s="1" t="s">
        <v>28</v>
      </c>
      <c r="B75" s="1" t="s">
        <v>62</v>
      </c>
      <c r="C75" s="1" t="s">
        <v>303</v>
      </c>
      <c r="D75" s="1" t="s">
        <v>99</v>
      </c>
      <c r="E75" s="1" t="s">
        <v>304</v>
      </c>
      <c r="F75" s="1" t="s">
        <v>305</v>
      </c>
      <c r="G75" s="1" t="s">
        <v>31</v>
      </c>
      <c r="H75" s="1" t="s">
        <v>66</v>
      </c>
      <c r="I75" s="1" t="s">
        <v>67</v>
      </c>
      <c r="J75" s="1" t="s">
        <v>102</v>
      </c>
      <c r="K75" s="1" t="s">
        <v>69</v>
      </c>
      <c r="L75" s="21">
        <v>45463</v>
      </c>
      <c r="M75" s="1" t="s">
        <v>103</v>
      </c>
      <c r="N75" s="21">
        <v>45470</v>
      </c>
      <c r="O75" s="1" t="s">
        <v>104</v>
      </c>
    </row>
    <row r="76" spans="1:15" ht="21" customHeight="1" x14ac:dyDescent="0.45">
      <c r="A76" s="1" t="s">
        <v>28</v>
      </c>
      <c r="B76" s="1" t="s">
        <v>62</v>
      </c>
      <c r="C76" s="1" t="s">
        <v>306</v>
      </c>
      <c r="D76" s="1" t="s">
        <v>99</v>
      </c>
      <c r="E76" s="1" t="s">
        <v>307</v>
      </c>
      <c r="F76" s="1" t="s">
        <v>308</v>
      </c>
      <c r="G76" s="1" t="s">
        <v>31</v>
      </c>
      <c r="H76" s="1" t="s">
        <v>66</v>
      </c>
      <c r="I76" s="1" t="s">
        <v>67</v>
      </c>
      <c r="J76" s="1" t="s">
        <v>309</v>
      </c>
      <c r="K76" s="1" t="s">
        <v>69</v>
      </c>
      <c r="L76" s="21">
        <v>45464</v>
      </c>
      <c r="M76" s="1" t="s">
        <v>70</v>
      </c>
      <c r="N76" s="21">
        <v>45469</v>
      </c>
      <c r="O76" s="1" t="s">
        <v>259</v>
      </c>
    </row>
    <row r="77" spans="1:15" ht="21" customHeight="1" x14ac:dyDescent="0.45">
      <c r="A77" s="1" t="s">
        <v>28</v>
      </c>
      <c r="B77" s="1" t="s">
        <v>45</v>
      </c>
      <c r="C77" s="1" t="s">
        <v>310</v>
      </c>
      <c r="D77" s="1" t="s">
        <v>47</v>
      </c>
      <c r="E77" s="1" t="s">
        <v>311</v>
      </c>
      <c r="F77" s="1" t="s">
        <v>312</v>
      </c>
      <c r="G77" s="1" t="s">
        <v>33</v>
      </c>
      <c r="H77" s="1" t="s">
        <v>59</v>
      </c>
      <c r="I77" s="1" t="s">
        <v>51</v>
      </c>
      <c r="J77" s="1" t="s">
        <v>52</v>
      </c>
      <c r="K77" s="1" t="s">
        <v>53</v>
      </c>
      <c r="L77" s="21">
        <v>45453</v>
      </c>
      <c r="M77" s="1" t="s">
        <v>60</v>
      </c>
      <c r="N77" s="21">
        <v>45467</v>
      </c>
      <c r="O77" s="1" t="s">
        <v>61</v>
      </c>
    </row>
    <row r="78" spans="1:15" ht="21" customHeight="1" x14ac:dyDescent="0.45">
      <c r="A78" s="1" t="s">
        <v>28</v>
      </c>
      <c r="B78" s="1" t="s">
        <v>62</v>
      </c>
      <c r="C78" s="1" t="s">
        <v>313</v>
      </c>
      <c r="D78" s="1" t="s">
        <v>47</v>
      </c>
      <c r="E78" s="1" t="s">
        <v>314</v>
      </c>
      <c r="F78" s="1" t="s">
        <v>315</v>
      </c>
      <c r="G78" s="1" t="s">
        <v>31</v>
      </c>
      <c r="H78" s="1" t="s">
        <v>66</v>
      </c>
      <c r="I78" s="1" t="s">
        <v>67</v>
      </c>
      <c r="J78" s="1" t="s">
        <v>158</v>
      </c>
      <c r="K78" s="1" t="s">
        <v>69</v>
      </c>
      <c r="L78" s="21">
        <v>45463</v>
      </c>
      <c r="M78" s="1" t="s">
        <v>128</v>
      </c>
      <c r="N78" s="21">
        <v>45470</v>
      </c>
      <c r="O78" s="1" t="s">
        <v>129</v>
      </c>
    </row>
    <row r="79" spans="1:15" ht="21" customHeight="1" x14ac:dyDescent="0.45">
      <c r="A79" s="1" t="s">
        <v>28</v>
      </c>
      <c r="B79" s="1" t="s">
        <v>62</v>
      </c>
      <c r="C79" s="1" t="s">
        <v>316</v>
      </c>
      <c r="D79" s="1" t="s">
        <v>47</v>
      </c>
      <c r="E79" s="1" t="s">
        <v>317</v>
      </c>
      <c r="F79" s="1" t="s">
        <v>318</v>
      </c>
      <c r="G79" s="1" t="s">
        <v>37</v>
      </c>
      <c r="H79" s="1" t="s">
        <v>66</v>
      </c>
      <c r="I79" s="1" t="s">
        <v>67</v>
      </c>
      <c r="J79" s="1" t="s">
        <v>319</v>
      </c>
      <c r="K79" s="1" t="s">
        <v>320</v>
      </c>
      <c r="L79" s="21">
        <v>45460</v>
      </c>
      <c r="M79" s="1" t="s">
        <v>60</v>
      </c>
      <c r="N79" s="21">
        <v>45467</v>
      </c>
      <c r="O79" s="1" t="s">
        <v>108</v>
      </c>
    </row>
    <row r="80" spans="1:15" ht="21" customHeight="1" x14ac:dyDescent="0.45">
      <c r="A80" s="1" t="s">
        <v>28</v>
      </c>
      <c r="B80" s="1" t="s">
        <v>45</v>
      </c>
      <c r="C80" s="1" t="s">
        <v>321</v>
      </c>
      <c r="D80" s="1" t="s">
        <v>47</v>
      </c>
      <c r="E80" s="1" t="s">
        <v>322</v>
      </c>
      <c r="F80" s="1" t="s">
        <v>323</v>
      </c>
      <c r="G80" s="1" t="s">
        <v>33</v>
      </c>
      <c r="H80" s="1" t="s">
        <v>59</v>
      </c>
      <c r="I80" s="1" t="s">
        <v>51</v>
      </c>
      <c r="J80" s="1" t="s">
        <v>52</v>
      </c>
      <c r="K80" s="1" t="s">
        <v>53</v>
      </c>
      <c r="L80" s="21">
        <v>45453</v>
      </c>
      <c r="M80" s="1" t="s">
        <v>60</v>
      </c>
      <c r="N80" s="21">
        <v>45467</v>
      </c>
      <c r="O80" s="1" t="s">
        <v>61</v>
      </c>
    </row>
    <row r="81" spans="1:15" ht="21" customHeight="1" x14ac:dyDescent="0.45">
      <c r="A81" s="1" t="s">
        <v>28</v>
      </c>
      <c r="B81" s="1" t="s">
        <v>324</v>
      </c>
      <c r="C81" s="1" t="s">
        <v>325</v>
      </c>
      <c r="D81" s="1" t="s">
        <v>47</v>
      </c>
      <c r="E81" s="1" t="s">
        <v>326</v>
      </c>
      <c r="F81" s="1" t="s">
        <v>327</v>
      </c>
      <c r="G81" s="1" t="s">
        <v>29</v>
      </c>
      <c r="H81" s="1" t="s">
        <v>200</v>
      </c>
      <c r="I81" s="1" t="s">
        <v>82</v>
      </c>
      <c r="J81" s="1" t="s">
        <v>201</v>
      </c>
      <c r="K81" s="1" t="s">
        <v>202</v>
      </c>
      <c r="L81" s="21">
        <v>45464</v>
      </c>
      <c r="M81" s="1" t="s">
        <v>70</v>
      </c>
      <c r="N81" s="21">
        <v>45471</v>
      </c>
      <c r="O81" s="1" t="s">
        <v>71</v>
      </c>
    </row>
    <row r="82" spans="1:15" ht="21" customHeight="1" x14ac:dyDescent="0.45">
      <c r="A82" s="1" t="s">
        <v>28</v>
      </c>
      <c r="B82" s="1" t="s">
        <v>62</v>
      </c>
      <c r="C82" s="1" t="s">
        <v>328</v>
      </c>
      <c r="D82" s="1" t="s">
        <v>47</v>
      </c>
      <c r="E82" s="1" t="s">
        <v>329</v>
      </c>
      <c r="F82" s="1" t="s">
        <v>330</v>
      </c>
      <c r="G82" s="1" t="s">
        <v>38</v>
      </c>
      <c r="H82" s="1" t="s">
        <v>81</v>
      </c>
      <c r="I82" s="1" t="s">
        <v>82</v>
      </c>
      <c r="J82" s="1" t="s">
        <v>83</v>
      </c>
      <c r="K82" s="1" t="s">
        <v>84</v>
      </c>
      <c r="L82" s="21">
        <v>45457</v>
      </c>
      <c r="M82" s="1" t="s">
        <v>70</v>
      </c>
      <c r="N82" s="21">
        <v>45464</v>
      </c>
      <c r="O82" s="1" t="s">
        <v>71</v>
      </c>
    </row>
    <row r="83" spans="1:15" ht="21" customHeight="1" x14ac:dyDescent="0.45">
      <c r="A83" s="1" t="s">
        <v>28</v>
      </c>
      <c r="B83" s="1" t="s">
        <v>62</v>
      </c>
      <c r="C83" s="1" t="s">
        <v>294</v>
      </c>
      <c r="D83" s="1" t="s">
        <v>47</v>
      </c>
      <c r="E83" s="1" t="s">
        <v>331</v>
      </c>
      <c r="F83" s="1" t="s">
        <v>332</v>
      </c>
      <c r="G83" s="1" t="s">
        <v>38</v>
      </c>
      <c r="H83" s="1" t="s">
        <v>81</v>
      </c>
      <c r="I83" s="1" t="s">
        <v>82</v>
      </c>
      <c r="J83" s="1" t="s">
        <v>83</v>
      </c>
      <c r="K83" s="1" t="s">
        <v>84</v>
      </c>
      <c r="L83" s="21">
        <v>45457</v>
      </c>
      <c r="M83" s="1" t="s">
        <v>70</v>
      </c>
      <c r="N83" s="21">
        <v>45464</v>
      </c>
      <c r="O83" s="1" t="s">
        <v>71</v>
      </c>
    </row>
    <row r="84" spans="1:15" ht="21" customHeight="1" x14ac:dyDescent="0.45">
      <c r="A84" s="1" t="s">
        <v>28</v>
      </c>
      <c r="B84" s="1" t="s">
        <v>62</v>
      </c>
      <c r="C84" s="1" t="s">
        <v>333</v>
      </c>
      <c r="D84" s="1" t="s">
        <v>47</v>
      </c>
      <c r="E84" s="1" t="s">
        <v>334</v>
      </c>
      <c r="F84" s="1" t="s">
        <v>335</v>
      </c>
      <c r="G84" s="1" t="s">
        <v>31</v>
      </c>
      <c r="H84" s="1" t="s">
        <v>66</v>
      </c>
      <c r="I84" s="1" t="s">
        <v>67</v>
      </c>
      <c r="J84" s="1" t="s">
        <v>158</v>
      </c>
      <c r="K84" s="1" t="s">
        <v>69</v>
      </c>
      <c r="L84" s="21">
        <v>45462</v>
      </c>
      <c r="M84" s="1" t="s">
        <v>159</v>
      </c>
      <c r="N84" s="21">
        <v>45467</v>
      </c>
      <c r="O84" s="1" t="s">
        <v>108</v>
      </c>
    </row>
    <row r="85" spans="1:15" ht="21" customHeight="1" x14ac:dyDescent="0.45">
      <c r="A85" s="1" t="s">
        <v>28</v>
      </c>
      <c r="B85" s="1" t="s">
        <v>260</v>
      </c>
      <c r="C85" s="1" t="s">
        <v>261</v>
      </c>
      <c r="D85" s="1" t="s">
        <v>47</v>
      </c>
      <c r="E85" s="1" t="s">
        <v>336</v>
      </c>
      <c r="F85" s="1" t="s">
        <v>337</v>
      </c>
      <c r="G85" s="1" t="s">
        <v>34</v>
      </c>
      <c r="H85" s="1" t="s">
        <v>66</v>
      </c>
      <c r="I85" s="1" t="s">
        <v>67</v>
      </c>
      <c r="J85" s="1" t="s">
        <v>83</v>
      </c>
      <c r="K85" s="1" t="s">
        <v>338</v>
      </c>
      <c r="L85" s="21">
        <v>45464</v>
      </c>
      <c r="M85" s="1" t="s">
        <v>70</v>
      </c>
      <c r="N85" s="21">
        <v>45471</v>
      </c>
      <c r="O85" s="1" t="s">
        <v>71</v>
      </c>
    </row>
    <row r="86" spans="1:15" ht="21" customHeight="1" x14ac:dyDescent="0.45">
      <c r="A86" s="1" t="s">
        <v>28</v>
      </c>
      <c r="B86" s="1" t="s">
        <v>62</v>
      </c>
      <c r="C86" s="1" t="s">
        <v>339</v>
      </c>
      <c r="D86" s="1" t="s">
        <v>47</v>
      </c>
      <c r="E86" s="1" t="s">
        <v>340</v>
      </c>
      <c r="F86" s="1" t="s">
        <v>341</v>
      </c>
      <c r="G86" s="1" t="s">
        <v>32</v>
      </c>
      <c r="H86" s="1" t="s">
        <v>342</v>
      </c>
      <c r="I86" s="1" t="s">
        <v>165</v>
      </c>
      <c r="J86" s="1" t="s">
        <v>52</v>
      </c>
      <c r="K86" s="1" t="s">
        <v>53</v>
      </c>
      <c r="L86" s="21">
        <v>45463</v>
      </c>
      <c r="M86" s="1" t="s">
        <v>128</v>
      </c>
      <c r="N86" s="21">
        <v>45470</v>
      </c>
      <c r="O86" s="1" t="s">
        <v>129</v>
      </c>
    </row>
    <row r="87" spans="1:15" ht="21" customHeight="1" x14ac:dyDescent="0.45">
      <c r="A87" s="1" t="s">
        <v>28</v>
      </c>
      <c r="B87" s="1" t="s">
        <v>62</v>
      </c>
      <c r="C87" s="1" t="s">
        <v>343</v>
      </c>
      <c r="D87" s="1" t="s">
        <v>99</v>
      </c>
      <c r="E87" s="1" t="s">
        <v>344</v>
      </c>
      <c r="F87" s="1" t="s">
        <v>345</v>
      </c>
      <c r="G87" s="1" t="s">
        <v>31</v>
      </c>
      <c r="H87" s="1" t="s">
        <v>66</v>
      </c>
      <c r="I87" s="1" t="s">
        <v>67</v>
      </c>
      <c r="J87" s="1" t="s">
        <v>102</v>
      </c>
      <c r="K87" s="1" t="s">
        <v>346</v>
      </c>
      <c r="L87" s="21">
        <v>45464</v>
      </c>
      <c r="M87" s="1" t="s">
        <v>70</v>
      </c>
      <c r="N87" s="21">
        <v>45470</v>
      </c>
      <c r="O87" s="1" t="s">
        <v>104</v>
      </c>
    </row>
    <row r="88" spans="1:15" ht="21" customHeight="1" x14ac:dyDescent="0.45">
      <c r="A88" s="1" t="s">
        <v>28</v>
      </c>
      <c r="B88" s="1" t="s">
        <v>62</v>
      </c>
      <c r="C88" s="1" t="s">
        <v>347</v>
      </c>
      <c r="D88" s="1" t="s">
        <v>99</v>
      </c>
      <c r="E88" s="1" t="s">
        <v>348</v>
      </c>
      <c r="F88" s="1" t="s">
        <v>349</v>
      </c>
      <c r="G88" s="1" t="s">
        <v>31</v>
      </c>
      <c r="H88" s="1" t="s">
        <v>66</v>
      </c>
      <c r="I88" s="1" t="s">
        <v>67</v>
      </c>
      <c r="J88" s="1" t="s">
        <v>154</v>
      </c>
      <c r="K88" s="1" t="s">
        <v>69</v>
      </c>
      <c r="L88" s="21">
        <v>45463</v>
      </c>
      <c r="M88" s="1" t="s">
        <v>103</v>
      </c>
      <c r="N88" s="21">
        <v>45470</v>
      </c>
      <c r="O88" s="1" t="s">
        <v>104</v>
      </c>
    </row>
    <row r="89" spans="1:15" ht="21" customHeight="1" x14ac:dyDescent="0.45">
      <c r="A89" s="1" t="s">
        <v>28</v>
      </c>
      <c r="B89" s="1" t="s">
        <v>62</v>
      </c>
      <c r="C89" s="1" t="s">
        <v>350</v>
      </c>
      <c r="D89" s="1" t="s">
        <v>47</v>
      </c>
      <c r="E89" s="1" t="s">
        <v>351</v>
      </c>
      <c r="F89" s="1" t="s">
        <v>352</v>
      </c>
      <c r="G89" s="1" t="s">
        <v>37</v>
      </c>
      <c r="H89" s="1" t="s">
        <v>66</v>
      </c>
      <c r="I89" s="1" t="s">
        <v>67</v>
      </c>
      <c r="J89" s="1" t="s">
        <v>143</v>
      </c>
      <c r="K89" s="1" t="s">
        <v>144</v>
      </c>
      <c r="L89" s="21">
        <v>45460</v>
      </c>
      <c r="M89" s="1" t="s">
        <v>60</v>
      </c>
      <c r="N89" s="21">
        <v>45467</v>
      </c>
      <c r="O89" s="1" t="s">
        <v>108</v>
      </c>
    </row>
    <row r="90" spans="1:15" ht="21" customHeight="1" x14ac:dyDescent="0.45">
      <c r="A90" s="1" t="s">
        <v>28</v>
      </c>
      <c r="B90" s="1" t="s">
        <v>324</v>
      </c>
      <c r="C90" s="1" t="s">
        <v>353</v>
      </c>
      <c r="D90" s="1" t="s">
        <v>47</v>
      </c>
      <c r="E90" s="1" t="s">
        <v>354</v>
      </c>
      <c r="F90" s="1" t="s">
        <v>355</v>
      </c>
      <c r="G90" s="1" t="s">
        <v>29</v>
      </c>
      <c r="H90" s="1" t="s">
        <v>200</v>
      </c>
      <c r="I90" s="1" t="s">
        <v>82</v>
      </c>
      <c r="J90" s="1" t="s">
        <v>201</v>
      </c>
      <c r="K90" s="1" t="s">
        <v>202</v>
      </c>
      <c r="L90" s="21">
        <v>45464</v>
      </c>
      <c r="M90" s="1" t="s">
        <v>70</v>
      </c>
      <c r="N90" s="21">
        <v>45471</v>
      </c>
      <c r="O90" s="1" t="s">
        <v>71</v>
      </c>
    </row>
    <row r="91" spans="1:15" ht="21" customHeight="1" x14ac:dyDescent="0.45">
      <c r="A91" s="1" t="s">
        <v>28</v>
      </c>
      <c r="B91" s="1" t="s">
        <v>62</v>
      </c>
      <c r="C91" s="1" t="s">
        <v>356</v>
      </c>
      <c r="D91" s="1" t="s">
        <v>99</v>
      </c>
      <c r="E91" s="1" t="s">
        <v>357</v>
      </c>
      <c r="F91" s="1" t="s">
        <v>358</v>
      </c>
      <c r="G91" s="1" t="s">
        <v>31</v>
      </c>
      <c r="H91" s="1" t="s">
        <v>66</v>
      </c>
      <c r="I91" s="1" t="s">
        <v>67</v>
      </c>
      <c r="J91" s="1" t="s">
        <v>102</v>
      </c>
      <c r="K91" s="1" t="s">
        <v>69</v>
      </c>
      <c r="L91" s="21">
        <v>45463</v>
      </c>
      <c r="M91" s="1" t="s">
        <v>103</v>
      </c>
      <c r="N91" s="21">
        <v>45470</v>
      </c>
      <c r="O91" s="1" t="s">
        <v>104</v>
      </c>
    </row>
    <row r="92" spans="1:15" ht="21" customHeight="1" x14ac:dyDescent="0.45">
      <c r="A92" s="1" t="s">
        <v>28</v>
      </c>
      <c r="B92" s="1" t="s">
        <v>62</v>
      </c>
      <c r="C92" s="1" t="s">
        <v>359</v>
      </c>
      <c r="D92" s="1" t="s">
        <v>99</v>
      </c>
      <c r="E92" s="1" t="s">
        <v>360</v>
      </c>
      <c r="F92" s="1" t="s">
        <v>361</v>
      </c>
      <c r="G92" s="1" t="s">
        <v>31</v>
      </c>
      <c r="H92" s="1" t="s">
        <v>66</v>
      </c>
      <c r="I92" s="1" t="s">
        <v>67</v>
      </c>
      <c r="J92" s="1" t="s">
        <v>102</v>
      </c>
      <c r="K92" s="1" t="s">
        <v>69</v>
      </c>
      <c r="L92" s="21">
        <v>45463</v>
      </c>
      <c r="M92" s="1" t="s">
        <v>103</v>
      </c>
      <c r="N92" s="21">
        <v>45470</v>
      </c>
      <c r="O92" s="1" t="s">
        <v>104</v>
      </c>
    </row>
    <row r="93" spans="1:15" ht="21" customHeight="1" x14ac:dyDescent="0.45">
      <c r="C93" s="8"/>
      <c r="D93" s="8"/>
      <c r="E93" s="8"/>
      <c r="F93" s="8"/>
      <c r="G93" s="8"/>
      <c r="H93" s="8"/>
      <c r="I93" s="8"/>
      <c r="J93" s="8"/>
      <c r="K93" s="9"/>
    </row>
    <row r="94" spans="1:15" ht="21" customHeight="1" x14ac:dyDescent="0.45">
      <c r="C94" s="8"/>
      <c r="D94" s="8"/>
      <c r="E94" s="8"/>
      <c r="F94" s="8"/>
      <c r="G94" s="8"/>
      <c r="H94" s="8"/>
      <c r="I94" s="8"/>
      <c r="J94" s="8"/>
      <c r="K94" s="9"/>
    </row>
    <row r="95" spans="1:15" ht="21" customHeight="1" x14ac:dyDescent="0.45">
      <c r="C95" s="8"/>
      <c r="D95" s="8"/>
      <c r="E95" s="8"/>
      <c r="F95" s="8"/>
      <c r="G95" s="8"/>
      <c r="H95" s="8"/>
      <c r="I95" s="8"/>
      <c r="J95" s="8"/>
      <c r="K95" s="9"/>
    </row>
    <row r="96" spans="1:15" ht="21" customHeight="1" x14ac:dyDescent="0.45">
      <c r="C96" s="8"/>
      <c r="D96" s="8"/>
      <c r="E96" s="8"/>
      <c r="F96" s="8"/>
      <c r="G96" s="8"/>
      <c r="H96" s="8"/>
      <c r="I96" s="8"/>
      <c r="J96" s="8"/>
      <c r="K96" s="9"/>
    </row>
    <row r="97" spans="3:11" ht="21" customHeight="1" x14ac:dyDescent="0.45">
      <c r="C97" s="8"/>
      <c r="D97" s="8"/>
      <c r="E97" s="8"/>
      <c r="F97" s="8"/>
      <c r="G97" s="8"/>
      <c r="H97" s="8"/>
      <c r="I97" s="8"/>
      <c r="J97" s="8"/>
      <c r="K97" s="9"/>
    </row>
    <row r="98" spans="3:11" ht="21" customHeight="1" x14ac:dyDescent="0.45">
      <c r="C98" s="8"/>
      <c r="D98" s="8"/>
      <c r="E98" s="8"/>
      <c r="F98" s="8"/>
      <c r="G98" s="8"/>
      <c r="H98" s="8"/>
      <c r="I98" s="8"/>
      <c r="J98" s="8"/>
      <c r="K98" s="9"/>
    </row>
    <row r="99" spans="3:11" ht="21" customHeight="1" x14ac:dyDescent="0.45">
      <c r="C99" s="8"/>
      <c r="D99" s="8"/>
      <c r="E99" s="8"/>
      <c r="F99" s="8"/>
      <c r="G99" s="8"/>
      <c r="H99" s="8"/>
      <c r="I99" s="8"/>
      <c r="J99" s="8"/>
      <c r="K99" s="9"/>
    </row>
  </sheetData>
  <mergeCells count="2">
    <mergeCell ref="A1:O1"/>
    <mergeCell ref="A2:O2"/>
  </mergeCells>
  <pageMargins left="0.39370078740157499" right="0.39370078740157499" top="0.59055118110236204" bottom="0.59055118110236204" header="0" footer="0.39370078740157499"/>
  <pageSetup paperSize="9" scale="5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03"/>
  <sheetViews>
    <sheetView zoomScaleNormal="100" zoomScalePageLayoutView="55" workbookViewId="0">
      <selection sqref="A1:Q1"/>
    </sheetView>
  </sheetViews>
  <sheetFormatPr defaultColWidth="9.1328125" defaultRowHeight="21" customHeight="1" x14ac:dyDescent="0.45"/>
  <cols>
    <col min="1" max="1" width="16.19921875" style="7" customWidth="1"/>
    <col min="2" max="2" width="12.33203125" style="7" customWidth="1"/>
    <col min="3" max="3" width="12" style="10" customWidth="1"/>
    <col min="4" max="4" width="18.6640625" style="10" customWidth="1"/>
    <col min="5" max="6" width="11.6640625" style="10" customWidth="1"/>
    <col min="7" max="10" width="18.6640625" style="10" customWidth="1"/>
    <col min="11" max="11" width="12.6640625" style="7" customWidth="1"/>
    <col min="12" max="12" width="15.6640625" style="7" customWidth="1"/>
    <col min="13" max="13" width="22.6640625" style="7" customWidth="1"/>
    <col min="14" max="14" width="15.6640625" style="7" customWidth="1"/>
    <col min="15" max="196" width="22.6640625" style="7" customWidth="1"/>
    <col min="197" max="16384" width="9.1328125" style="7"/>
  </cols>
  <sheetData>
    <row r="1" spans="1:17" s="2" customFormat="1" ht="21" customHeight="1" x14ac:dyDescent="0.45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6"/>
      <c r="Q1" s="46"/>
    </row>
    <row r="2" spans="1:17" s="2" customFormat="1" ht="21" customHeight="1" x14ac:dyDescent="0.45">
      <c r="A2" s="42" t="s">
        <v>27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6"/>
      <c r="Q2" s="46"/>
    </row>
    <row r="3" spans="1:17" s="2" customFormat="1" ht="21" customHeight="1" x14ac:dyDescent="0.45">
      <c r="C3" s="17"/>
      <c r="D3" s="16"/>
      <c r="E3" s="16"/>
      <c r="F3" s="22"/>
      <c r="G3" s="16"/>
      <c r="H3" s="24"/>
      <c r="I3" s="16"/>
      <c r="J3" s="16"/>
      <c r="K3" s="16"/>
    </row>
    <row r="4" spans="1:17" s="2" customFormat="1" ht="21" customHeight="1" x14ac:dyDescent="0.45">
      <c r="A4" s="20" t="s">
        <v>14</v>
      </c>
      <c r="B4" s="18" t="s">
        <v>28</v>
      </c>
      <c r="E4" s="16"/>
      <c r="F4" s="22"/>
      <c r="G4" s="16"/>
      <c r="H4" s="24"/>
      <c r="I4" s="16"/>
      <c r="J4" s="16"/>
      <c r="K4" s="16"/>
    </row>
    <row r="5" spans="1:17" s="2" customFormat="1" ht="21" customHeight="1" x14ac:dyDescent="0.45">
      <c r="A5" s="20" t="s">
        <v>15</v>
      </c>
      <c r="B5" s="18" t="s">
        <v>40</v>
      </c>
      <c r="E5" s="16"/>
      <c r="F5" s="22"/>
      <c r="G5" s="16"/>
      <c r="H5" s="24"/>
      <c r="I5" s="16"/>
      <c r="J5" s="16"/>
      <c r="K5" s="16"/>
    </row>
    <row r="6" spans="1:17" s="2" customFormat="1" ht="21" customHeight="1" x14ac:dyDescent="0.45">
      <c r="A6" s="20" t="s">
        <v>17</v>
      </c>
      <c r="B6" s="18" t="s">
        <v>41</v>
      </c>
      <c r="E6" s="25"/>
      <c r="F6" s="25"/>
      <c r="G6" s="25"/>
      <c r="H6" s="25"/>
      <c r="I6" s="25"/>
      <c r="J6" s="25"/>
      <c r="K6" s="25"/>
    </row>
    <row r="7" spans="1:17" s="2" customFormat="1" ht="21" customHeight="1" x14ac:dyDescent="0.45">
      <c r="A7" s="20" t="s">
        <v>18</v>
      </c>
      <c r="B7" s="18" t="s">
        <v>42</v>
      </c>
      <c r="E7" s="26"/>
      <c r="F7" s="26"/>
      <c r="G7" s="26"/>
      <c r="H7" s="26"/>
      <c r="I7" s="26"/>
      <c r="J7" s="26"/>
      <c r="K7" s="26"/>
    </row>
    <row r="8" spans="1:17" s="2" customFormat="1" ht="21" customHeight="1" x14ac:dyDescent="0.45">
      <c r="A8" s="20" t="s">
        <v>19</v>
      </c>
      <c r="B8" s="18" t="s">
        <v>43</v>
      </c>
      <c r="E8" s="27"/>
      <c r="F8" s="27"/>
      <c r="G8" s="27"/>
      <c r="H8" s="27"/>
      <c r="I8" s="27"/>
      <c r="J8" s="27"/>
      <c r="K8" s="27"/>
    </row>
    <row r="9" spans="1:17" s="2" customFormat="1" ht="21" customHeight="1" x14ac:dyDescent="0.45">
      <c r="A9" s="20" t="s">
        <v>20</v>
      </c>
      <c r="B9" s="18" t="s">
        <v>44</v>
      </c>
      <c r="E9" s="27"/>
      <c r="F9" s="27"/>
      <c r="G9" s="27"/>
      <c r="H9" s="27"/>
      <c r="I9" s="27"/>
      <c r="J9" s="27"/>
      <c r="K9" s="27"/>
    </row>
    <row r="10" spans="1:17" s="3" customFormat="1" ht="21" customHeight="1" x14ac:dyDescent="0.45"/>
    <row r="11" spans="1:17" s="6" customFormat="1" ht="21" customHeight="1" x14ac:dyDescent="0.45">
      <c r="A11" s="4" t="s">
        <v>7</v>
      </c>
      <c r="B11" s="4" t="s">
        <v>8</v>
      </c>
      <c r="C11" s="4" t="s">
        <v>0</v>
      </c>
      <c r="D11" s="5" t="s">
        <v>2</v>
      </c>
      <c r="E11" s="4" t="s">
        <v>1</v>
      </c>
      <c r="F11" s="4" t="s">
        <v>13</v>
      </c>
      <c r="G11" s="4" t="s">
        <v>3</v>
      </c>
      <c r="H11" s="4" t="s">
        <v>16</v>
      </c>
      <c r="I11" s="4" t="s">
        <v>4</v>
      </c>
      <c r="J11" s="4" t="s">
        <v>5</v>
      </c>
      <c r="K11" s="4" t="s">
        <v>6</v>
      </c>
      <c r="L11" s="4" t="s">
        <v>9</v>
      </c>
      <c r="M11" s="4" t="s">
        <v>10</v>
      </c>
      <c r="N11" s="4" t="s">
        <v>11</v>
      </c>
      <c r="O11" s="4" t="s">
        <v>12</v>
      </c>
      <c r="P11" s="4" t="s">
        <v>362</v>
      </c>
      <c r="Q11" s="4" t="s">
        <v>363</v>
      </c>
    </row>
    <row r="12" spans="1:17" s="6" customFormat="1" ht="21" customHeight="1" x14ac:dyDescent="0.45">
      <c r="A12" s="12" t="s">
        <v>28</v>
      </c>
      <c r="D12" s="11"/>
    </row>
    <row r="13" spans="1:17" ht="21" customHeight="1" x14ac:dyDescent="0.45">
      <c r="A13" s="1" t="s">
        <v>28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39</v>
      </c>
      <c r="H13" s="1" t="s">
        <v>50</v>
      </c>
      <c r="I13" s="1" t="s">
        <v>51</v>
      </c>
      <c r="J13" s="1" t="s">
        <v>52</v>
      </c>
      <c r="K13" s="1" t="s">
        <v>53</v>
      </c>
      <c r="L13" s="21">
        <v>45454</v>
      </c>
      <c r="M13" s="1" t="s">
        <v>54</v>
      </c>
      <c r="N13" s="21">
        <v>45468</v>
      </c>
      <c r="O13" s="1" t="s">
        <v>55</v>
      </c>
      <c r="P13" s="1" t="s">
        <v>365</v>
      </c>
      <c r="Q13" s="1"/>
    </row>
    <row r="14" spans="1:17" ht="21" customHeight="1" x14ac:dyDescent="0.45">
      <c r="A14" s="1" t="s">
        <v>28</v>
      </c>
      <c r="B14" s="1" t="s">
        <v>45</v>
      </c>
      <c r="C14" s="1" t="s">
        <v>56</v>
      </c>
      <c r="D14" s="1" t="s">
        <v>47</v>
      </c>
      <c r="E14" s="1" t="s">
        <v>57</v>
      </c>
      <c r="F14" s="1" t="s">
        <v>58</v>
      </c>
      <c r="G14" s="1" t="s">
        <v>33</v>
      </c>
      <c r="H14" s="1" t="s">
        <v>59</v>
      </c>
      <c r="I14" s="1" t="s">
        <v>51</v>
      </c>
      <c r="J14" s="1" t="s">
        <v>52</v>
      </c>
      <c r="K14" s="1" t="s">
        <v>53</v>
      </c>
      <c r="L14" s="21">
        <v>45453</v>
      </c>
      <c r="M14" s="1" t="s">
        <v>60</v>
      </c>
      <c r="N14" s="21">
        <v>45467</v>
      </c>
      <c r="O14" s="1" t="s">
        <v>61</v>
      </c>
      <c r="P14" s="1" t="s">
        <v>366</v>
      </c>
      <c r="Q14" s="1"/>
    </row>
    <row r="15" spans="1:17" ht="21" customHeight="1" x14ac:dyDescent="0.45">
      <c r="A15" s="1" t="s">
        <v>28</v>
      </c>
      <c r="B15" s="1" t="s">
        <v>62</v>
      </c>
      <c r="C15" s="1" t="s">
        <v>63</v>
      </c>
      <c r="D15" s="1" t="s">
        <v>47</v>
      </c>
      <c r="E15" s="1" t="s">
        <v>64</v>
      </c>
      <c r="F15" s="1" t="s">
        <v>65</v>
      </c>
      <c r="G15" s="1" t="s">
        <v>37</v>
      </c>
      <c r="H15" s="1" t="s">
        <v>66</v>
      </c>
      <c r="I15" s="1" t="s">
        <v>67</v>
      </c>
      <c r="J15" s="1" t="s">
        <v>68</v>
      </c>
      <c r="K15" s="1" t="s">
        <v>69</v>
      </c>
      <c r="L15" s="21">
        <v>45457</v>
      </c>
      <c r="M15" s="1" t="s">
        <v>70</v>
      </c>
      <c r="N15" s="21">
        <v>45464</v>
      </c>
      <c r="O15" s="1" t="s">
        <v>71</v>
      </c>
      <c r="P15" s="1" t="s">
        <v>367</v>
      </c>
      <c r="Q15" s="1"/>
    </row>
    <row r="16" spans="1:17" ht="21" customHeight="1" x14ac:dyDescent="0.45">
      <c r="A16" s="1" t="s">
        <v>28</v>
      </c>
      <c r="B16" s="1" t="s">
        <v>62</v>
      </c>
      <c r="C16" s="1" t="s">
        <v>72</v>
      </c>
      <c r="D16" s="1" t="s">
        <v>47</v>
      </c>
      <c r="E16" s="1" t="s">
        <v>73</v>
      </c>
      <c r="F16" s="1" t="s">
        <v>74</v>
      </c>
      <c r="G16" s="1" t="s">
        <v>31</v>
      </c>
      <c r="H16" s="1" t="s">
        <v>66</v>
      </c>
      <c r="I16" s="1" t="s">
        <v>67</v>
      </c>
      <c r="J16" s="1" t="s">
        <v>75</v>
      </c>
      <c r="K16" s="1" t="s">
        <v>69</v>
      </c>
      <c r="L16" s="21">
        <v>45462</v>
      </c>
      <c r="M16" s="1" t="s">
        <v>76</v>
      </c>
      <c r="N16" s="21">
        <v>45470</v>
      </c>
      <c r="O16" s="1" t="s">
        <v>77</v>
      </c>
      <c r="P16" s="1" t="s">
        <v>368</v>
      </c>
      <c r="Q16" s="1"/>
    </row>
    <row r="17" spans="1:17" ht="21" customHeight="1" x14ac:dyDescent="0.45">
      <c r="A17" s="1" t="s">
        <v>28</v>
      </c>
      <c r="B17" s="1" t="s">
        <v>62</v>
      </c>
      <c r="C17" s="1" t="s">
        <v>78</v>
      </c>
      <c r="D17" s="1" t="s">
        <v>47</v>
      </c>
      <c r="E17" s="1" t="s">
        <v>79</v>
      </c>
      <c r="F17" s="1" t="s">
        <v>80</v>
      </c>
      <c r="G17" s="1" t="s">
        <v>38</v>
      </c>
      <c r="H17" s="1" t="s">
        <v>81</v>
      </c>
      <c r="I17" s="1" t="s">
        <v>82</v>
      </c>
      <c r="J17" s="1" t="s">
        <v>83</v>
      </c>
      <c r="K17" s="1" t="s">
        <v>84</v>
      </c>
      <c r="L17" s="21">
        <v>45464</v>
      </c>
      <c r="M17" s="1" t="s">
        <v>70</v>
      </c>
      <c r="N17" s="21">
        <v>45471</v>
      </c>
      <c r="O17" s="1" t="s">
        <v>71</v>
      </c>
      <c r="P17" s="1" t="s">
        <v>369</v>
      </c>
      <c r="Q17" s="1"/>
    </row>
    <row r="18" spans="1:17" ht="21" customHeight="1" x14ac:dyDescent="0.45">
      <c r="A18" s="1" t="s">
        <v>28</v>
      </c>
      <c r="B18" s="1" t="s">
        <v>62</v>
      </c>
      <c r="C18" s="1" t="s">
        <v>85</v>
      </c>
      <c r="D18" s="1" t="s">
        <v>47</v>
      </c>
      <c r="E18" s="1" t="s">
        <v>86</v>
      </c>
      <c r="F18" s="1" t="s">
        <v>87</v>
      </c>
      <c r="G18" s="1" t="s">
        <v>30</v>
      </c>
      <c r="H18" s="1" t="s">
        <v>88</v>
      </c>
      <c r="I18" s="1" t="s">
        <v>82</v>
      </c>
      <c r="J18" s="1" t="s">
        <v>89</v>
      </c>
      <c r="K18" s="1" t="s">
        <v>90</v>
      </c>
      <c r="L18" s="21">
        <v>45464</v>
      </c>
      <c r="M18" s="1" t="s">
        <v>70</v>
      </c>
      <c r="N18" s="21">
        <v>45471</v>
      </c>
      <c r="O18" s="1" t="s">
        <v>71</v>
      </c>
      <c r="P18" s="1" t="s">
        <v>370</v>
      </c>
      <c r="Q18" s="1"/>
    </row>
    <row r="19" spans="1:17" ht="21" customHeight="1" x14ac:dyDescent="0.45">
      <c r="A19" s="1" t="s">
        <v>28</v>
      </c>
      <c r="B19" s="1" t="s">
        <v>45</v>
      </c>
      <c r="C19" s="1" t="s">
        <v>91</v>
      </c>
      <c r="D19" s="1" t="s">
        <v>47</v>
      </c>
      <c r="E19" s="1" t="s">
        <v>92</v>
      </c>
      <c r="F19" s="1" t="s">
        <v>93</v>
      </c>
      <c r="G19" s="1" t="s">
        <v>39</v>
      </c>
      <c r="H19" s="1" t="s">
        <v>50</v>
      </c>
      <c r="I19" s="1" t="s">
        <v>51</v>
      </c>
      <c r="J19" s="1" t="s">
        <v>52</v>
      </c>
      <c r="K19" s="1" t="s">
        <v>53</v>
      </c>
      <c r="L19" s="21">
        <v>45454</v>
      </c>
      <c r="M19" s="1" t="s">
        <v>54</v>
      </c>
      <c r="N19" s="21">
        <v>45468</v>
      </c>
      <c r="O19" s="1" t="s">
        <v>55</v>
      </c>
      <c r="P19" s="1" t="s">
        <v>371</v>
      </c>
      <c r="Q19" s="1"/>
    </row>
    <row r="20" spans="1:17" ht="21" customHeight="1" x14ac:dyDescent="0.45">
      <c r="A20" s="1" t="s">
        <v>28</v>
      </c>
      <c r="B20" s="1" t="s">
        <v>45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31</v>
      </c>
      <c r="H20" s="1" t="s">
        <v>88</v>
      </c>
      <c r="I20" s="1" t="s">
        <v>51</v>
      </c>
      <c r="J20" s="1" t="s">
        <v>52</v>
      </c>
      <c r="K20" s="1" t="s">
        <v>53</v>
      </c>
      <c r="L20" s="21">
        <v>45449</v>
      </c>
      <c r="M20" s="1" t="s">
        <v>76</v>
      </c>
      <c r="N20" s="21">
        <v>45464</v>
      </c>
      <c r="O20" s="1" t="s">
        <v>76</v>
      </c>
      <c r="P20" s="1" t="s">
        <v>372</v>
      </c>
      <c r="Q20" s="1"/>
    </row>
    <row r="21" spans="1:17" ht="21" customHeight="1" x14ac:dyDescent="0.45">
      <c r="A21" s="1" t="s">
        <v>28</v>
      </c>
      <c r="B21" s="1" t="s">
        <v>62</v>
      </c>
      <c r="C21" s="1" t="s">
        <v>98</v>
      </c>
      <c r="D21" s="1" t="s">
        <v>99</v>
      </c>
      <c r="E21" s="1" t="s">
        <v>100</v>
      </c>
      <c r="F21" s="1" t="s">
        <v>101</v>
      </c>
      <c r="G21" s="1" t="s">
        <v>31</v>
      </c>
      <c r="H21" s="1" t="s">
        <v>66</v>
      </c>
      <c r="I21" s="1" t="s">
        <v>67</v>
      </c>
      <c r="J21" s="1" t="s">
        <v>102</v>
      </c>
      <c r="K21" s="1" t="s">
        <v>69</v>
      </c>
      <c r="L21" s="21">
        <v>45463</v>
      </c>
      <c r="M21" s="1" t="s">
        <v>103</v>
      </c>
      <c r="N21" s="21">
        <v>45470</v>
      </c>
      <c r="O21" s="1" t="s">
        <v>104</v>
      </c>
      <c r="P21" s="1" t="s">
        <v>373</v>
      </c>
      <c r="Q21" s="1"/>
    </row>
    <row r="22" spans="1:17" ht="21" customHeight="1" x14ac:dyDescent="0.45">
      <c r="A22" s="1" t="s">
        <v>28</v>
      </c>
      <c r="B22" s="1" t="s">
        <v>62</v>
      </c>
      <c r="C22" s="1" t="s">
        <v>105</v>
      </c>
      <c r="D22" s="1" t="s">
        <v>47</v>
      </c>
      <c r="E22" s="1" t="s">
        <v>106</v>
      </c>
      <c r="F22" s="1" t="s">
        <v>107</v>
      </c>
      <c r="G22" s="1" t="s">
        <v>37</v>
      </c>
      <c r="H22" s="1" t="s">
        <v>66</v>
      </c>
      <c r="I22" s="1" t="s">
        <v>67</v>
      </c>
      <c r="J22" s="1" t="s">
        <v>68</v>
      </c>
      <c r="K22" s="1" t="s">
        <v>69</v>
      </c>
      <c r="L22" s="21">
        <v>45460</v>
      </c>
      <c r="M22" s="1" t="s">
        <v>60</v>
      </c>
      <c r="N22" s="21">
        <v>45467</v>
      </c>
      <c r="O22" s="1" t="s">
        <v>108</v>
      </c>
      <c r="P22" s="1" t="s">
        <v>374</v>
      </c>
      <c r="Q22" s="1"/>
    </row>
    <row r="23" spans="1:17" ht="21" customHeight="1" x14ac:dyDescent="0.45">
      <c r="A23" s="1" t="s">
        <v>28</v>
      </c>
      <c r="B23" s="1" t="s">
        <v>62</v>
      </c>
      <c r="C23" s="1" t="s">
        <v>109</v>
      </c>
      <c r="D23" s="1" t="s">
        <v>47</v>
      </c>
      <c r="E23" s="1" t="s">
        <v>110</v>
      </c>
      <c r="F23" s="1" t="s">
        <v>111</v>
      </c>
      <c r="G23" s="1" t="s">
        <v>37</v>
      </c>
      <c r="H23" s="1" t="s">
        <v>66</v>
      </c>
      <c r="I23" s="1" t="s">
        <v>67</v>
      </c>
      <c r="J23" s="1" t="s">
        <v>112</v>
      </c>
      <c r="K23" s="1" t="s">
        <v>69</v>
      </c>
      <c r="L23" s="21">
        <v>45464</v>
      </c>
      <c r="M23" s="1" t="s">
        <v>70</v>
      </c>
      <c r="N23" s="21">
        <v>45471</v>
      </c>
      <c r="O23" s="1" t="s">
        <v>71</v>
      </c>
      <c r="P23" s="1" t="s">
        <v>375</v>
      </c>
      <c r="Q23" s="1"/>
    </row>
    <row r="24" spans="1:17" ht="21" customHeight="1" x14ac:dyDescent="0.45">
      <c r="A24" s="1" t="s">
        <v>28</v>
      </c>
      <c r="B24" s="1" t="s">
        <v>45</v>
      </c>
      <c r="C24" s="1" t="s">
        <v>113</v>
      </c>
      <c r="D24" s="1" t="s">
        <v>47</v>
      </c>
      <c r="E24" s="1" t="s">
        <v>114</v>
      </c>
      <c r="F24" s="1" t="s">
        <v>115</v>
      </c>
      <c r="G24" s="1" t="s">
        <v>30</v>
      </c>
      <c r="H24" s="1" t="s">
        <v>88</v>
      </c>
      <c r="I24" s="1" t="s">
        <v>82</v>
      </c>
      <c r="J24" s="1" t="s">
        <v>102</v>
      </c>
      <c r="K24" s="1" t="s">
        <v>116</v>
      </c>
      <c r="L24" s="21">
        <v>45460</v>
      </c>
      <c r="M24" s="1" t="s">
        <v>76</v>
      </c>
      <c r="N24" s="21">
        <v>45464</v>
      </c>
      <c r="O24" s="1" t="s">
        <v>77</v>
      </c>
      <c r="P24" s="1" t="s">
        <v>376</v>
      </c>
      <c r="Q24" s="1"/>
    </row>
    <row r="25" spans="1:17" ht="21" customHeight="1" x14ac:dyDescent="0.45">
      <c r="A25" s="1" t="s">
        <v>28</v>
      </c>
      <c r="B25" s="1" t="s">
        <v>62</v>
      </c>
      <c r="C25" s="1" t="s">
        <v>117</v>
      </c>
      <c r="D25" s="1" t="s">
        <v>47</v>
      </c>
      <c r="E25" s="1" t="s">
        <v>118</v>
      </c>
      <c r="F25" s="1" t="s">
        <v>119</v>
      </c>
      <c r="G25" s="1" t="s">
        <v>38</v>
      </c>
      <c r="H25" s="1" t="s">
        <v>81</v>
      </c>
      <c r="I25" s="1" t="s">
        <v>82</v>
      </c>
      <c r="J25" s="1" t="s">
        <v>83</v>
      </c>
      <c r="K25" s="1" t="s">
        <v>84</v>
      </c>
      <c r="L25" s="21">
        <v>45464</v>
      </c>
      <c r="M25" s="1" t="s">
        <v>70</v>
      </c>
      <c r="N25" s="21">
        <v>45471</v>
      </c>
      <c r="O25" s="1" t="s">
        <v>71</v>
      </c>
      <c r="P25" s="1" t="s">
        <v>377</v>
      </c>
      <c r="Q25" s="1"/>
    </row>
    <row r="26" spans="1:17" ht="21" customHeight="1" x14ac:dyDescent="0.45">
      <c r="A26" s="1" t="s">
        <v>28</v>
      </c>
      <c r="B26" s="1" t="s">
        <v>45</v>
      </c>
      <c r="C26" s="1" t="s">
        <v>120</v>
      </c>
      <c r="D26" s="1" t="s">
        <v>47</v>
      </c>
      <c r="E26" s="1" t="s">
        <v>121</v>
      </c>
      <c r="F26" s="1" t="s">
        <v>122</v>
      </c>
      <c r="G26" s="1" t="s">
        <v>33</v>
      </c>
      <c r="H26" s="1" t="s">
        <v>59</v>
      </c>
      <c r="I26" s="1" t="s">
        <v>51</v>
      </c>
      <c r="J26" s="1" t="s">
        <v>52</v>
      </c>
      <c r="K26" s="1" t="s">
        <v>53</v>
      </c>
      <c r="L26" s="21">
        <v>45454</v>
      </c>
      <c r="M26" s="1" t="s">
        <v>123</v>
      </c>
      <c r="N26" s="21">
        <v>45467</v>
      </c>
      <c r="O26" s="1" t="s">
        <v>61</v>
      </c>
      <c r="P26" s="1" t="s">
        <v>378</v>
      </c>
      <c r="Q26" s="1"/>
    </row>
    <row r="27" spans="1:17" ht="21" customHeight="1" x14ac:dyDescent="0.45">
      <c r="A27" s="1" t="s">
        <v>28</v>
      </c>
      <c r="B27" s="1" t="s">
        <v>62</v>
      </c>
      <c r="C27" s="1" t="s">
        <v>124</v>
      </c>
      <c r="D27" s="1" t="s">
        <v>47</v>
      </c>
      <c r="E27" s="1" t="s">
        <v>125</v>
      </c>
      <c r="F27" s="1" t="s">
        <v>126</v>
      </c>
      <c r="G27" s="1" t="s">
        <v>31</v>
      </c>
      <c r="H27" s="1" t="s">
        <v>66</v>
      </c>
      <c r="I27" s="1" t="s">
        <v>67</v>
      </c>
      <c r="J27" s="1" t="s">
        <v>75</v>
      </c>
      <c r="K27" s="1" t="s">
        <v>127</v>
      </c>
      <c r="L27" s="21">
        <v>45463</v>
      </c>
      <c r="M27" s="1" t="s">
        <v>128</v>
      </c>
      <c r="N27" s="21">
        <v>45470</v>
      </c>
      <c r="O27" s="1" t="s">
        <v>129</v>
      </c>
      <c r="P27" s="1" t="s">
        <v>379</v>
      </c>
      <c r="Q27" s="1"/>
    </row>
    <row r="28" spans="1:17" ht="21" customHeight="1" x14ac:dyDescent="0.45">
      <c r="A28" s="1" t="s">
        <v>28</v>
      </c>
      <c r="B28" s="1" t="s">
        <v>62</v>
      </c>
      <c r="C28" s="1" t="s">
        <v>130</v>
      </c>
      <c r="D28" s="1" t="s">
        <v>47</v>
      </c>
      <c r="E28" s="1" t="s">
        <v>131</v>
      </c>
      <c r="F28" s="1" t="s">
        <v>132</v>
      </c>
      <c r="G28" s="1" t="s">
        <v>31</v>
      </c>
      <c r="H28" s="1" t="s">
        <v>66</v>
      </c>
      <c r="I28" s="1" t="s">
        <v>67</v>
      </c>
      <c r="J28" s="1" t="s">
        <v>75</v>
      </c>
      <c r="K28" s="1" t="s">
        <v>69</v>
      </c>
      <c r="L28" s="21">
        <v>45463</v>
      </c>
      <c r="M28" s="1" t="s">
        <v>128</v>
      </c>
      <c r="N28" s="21">
        <v>45470</v>
      </c>
      <c r="O28" s="1" t="s">
        <v>129</v>
      </c>
      <c r="P28" s="1" t="s">
        <v>380</v>
      </c>
      <c r="Q28" s="1"/>
    </row>
    <row r="29" spans="1:17" ht="21" customHeight="1" x14ac:dyDescent="0.45">
      <c r="A29" s="1" t="s">
        <v>28</v>
      </c>
      <c r="B29" s="1" t="s">
        <v>62</v>
      </c>
      <c r="C29" s="1" t="s">
        <v>133</v>
      </c>
      <c r="D29" s="1" t="s">
        <v>47</v>
      </c>
      <c r="E29" s="1" t="s">
        <v>134</v>
      </c>
      <c r="F29" s="1" t="s">
        <v>135</v>
      </c>
      <c r="G29" s="1" t="s">
        <v>31</v>
      </c>
      <c r="H29" s="1" t="s">
        <v>66</v>
      </c>
      <c r="I29" s="1" t="s">
        <v>67</v>
      </c>
      <c r="J29" s="1" t="s">
        <v>136</v>
      </c>
      <c r="K29" s="1" t="s">
        <v>69</v>
      </c>
      <c r="L29" s="21">
        <v>45463</v>
      </c>
      <c r="M29" s="1" t="s">
        <v>128</v>
      </c>
      <c r="N29" s="21">
        <v>45470</v>
      </c>
      <c r="O29" s="1" t="s">
        <v>129</v>
      </c>
      <c r="P29" s="1" t="s">
        <v>381</v>
      </c>
      <c r="Q29" s="1"/>
    </row>
    <row r="30" spans="1:17" ht="21" customHeight="1" x14ac:dyDescent="0.45">
      <c r="A30" s="1" t="s">
        <v>28</v>
      </c>
      <c r="B30" s="1" t="s">
        <v>45</v>
      </c>
      <c r="C30" s="1" t="s">
        <v>137</v>
      </c>
      <c r="D30" s="1" t="s">
        <v>47</v>
      </c>
      <c r="E30" s="1" t="s">
        <v>138</v>
      </c>
      <c r="F30" s="1" t="s">
        <v>139</v>
      </c>
      <c r="G30" s="1" t="s">
        <v>39</v>
      </c>
      <c r="H30" s="1" t="s">
        <v>50</v>
      </c>
      <c r="I30" s="1" t="s">
        <v>51</v>
      </c>
      <c r="J30" s="1" t="s">
        <v>52</v>
      </c>
      <c r="K30" s="1" t="s">
        <v>53</v>
      </c>
      <c r="L30" s="21">
        <v>45454</v>
      </c>
      <c r="M30" s="1" t="s">
        <v>54</v>
      </c>
      <c r="N30" s="21">
        <v>45468</v>
      </c>
      <c r="O30" s="1" t="s">
        <v>55</v>
      </c>
      <c r="P30" s="1" t="s">
        <v>382</v>
      </c>
      <c r="Q30" s="1"/>
    </row>
    <row r="31" spans="1:17" ht="21" customHeight="1" x14ac:dyDescent="0.45">
      <c r="A31" s="1" t="s">
        <v>28</v>
      </c>
      <c r="B31" s="1" t="s">
        <v>62</v>
      </c>
      <c r="C31" s="1" t="s">
        <v>140</v>
      </c>
      <c r="D31" s="1" t="s">
        <v>47</v>
      </c>
      <c r="E31" s="1" t="s">
        <v>141</v>
      </c>
      <c r="F31" s="1" t="s">
        <v>142</v>
      </c>
      <c r="G31" s="1" t="s">
        <v>37</v>
      </c>
      <c r="H31" s="1" t="s">
        <v>66</v>
      </c>
      <c r="I31" s="1" t="s">
        <v>67</v>
      </c>
      <c r="J31" s="1" t="s">
        <v>143</v>
      </c>
      <c r="K31" s="1" t="s">
        <v>144</v>
      </c>
      <c r="L31" s="21">
        <v>45460</v>
      </c>
      <c r="M31" s="1" t="s">
        <v>60</v>
      </c>
      <c r="N31" s="21">
        <v>45467</v>
      </c>
      <c r="O31" s="1" t="s">
        <v>108</v>
      </c>
      <c r="P31" s="1" t="s">
        <v>383</v>
      </c>
      <c r="Q31" s="1"/>
    </row>
    <row r="32" spans="1:17" ht="21" customHeight="1" x14ac:dyDescent="0.45">
      <c r="A32" s="1" t="s">
        <v>28</v>
      </c>
      <c r="B32" s="1" t="s">
        <v>45</v>
      </c>
      <c r="C32" s="1" t="s">
        <v>145</v>
      </c>
      <c r="D32" s="1" t="s">
        <v>47</v>
      </c>
      <c r="E32" s="1" t="s">
        <v>146</v>
      </c>
      <c r="F32" s="1" t="s">
        <v>147</v>
      </c>
      <c r="G32" s="1" t="s">
        <v>39</v>
      </c>
      <c r="H32" s="1" t="s">
        <v>50</v>
      </c>
      <c r="I32" s="1" t="s">
        <v>51</v>
      </c>
      <c r="J32" s="1" t="s">
        <v>52</v>
      </c>
      <c r="K32" s="1" t="s">
        <v>53</v>
      </c>
      <c r="L32" s="21">
        <v>45454</v>
      </c>
      <c r="M32" s="1" t="s">
        <v>54</v>
      </c>
      <c r="N32" s="21">
        <v>45468</v>
      </c>
      <c r="O32" s="1" t="s">
        <v>55</v>
      </c>
      <c r="P32" s="1" t="s">
        <v>384</v>
      </c>
      <c r="Q32" s="1"/>
    </row>
    <row r="33" spans="1:17" ht="21" customHeight="1" x14ac:dyDescent="0.45">
      <c r="A33" s="1" t="s">
        <v>28</v>
      </c>
      <c r="B33" s="1" t="s">
        <v>62</v>
      </c>
      <c r="C33" s="1" t="s">
        <v>148</v>
      </c>
      <c r="D33" s="1" t="s">
        <v>47</v>
      </c>
      <c r="E33" s="1" t="s">
        <v>149</v>
      </c>
      <c r="F33" s="1" t="s">
        <v>150</v>
      </c>
      <c r="G33" s="1" t="s">
        <v>31</v>
      </c>
      <c r="H33" s="1" t="s">
        <v>66</v>
      </c>
      <c r="I33" s="1" t="s">
        <v>67</v>
      </c>
      <c r="J33" s="1" t="s">
        <v>75</v>
      </c>
      <c r="K33" s="1" t="s">
        <v>69</v>
      </c>
      <c r="L33" s="21">
        <v>45463</v>
      </c>
      <c r="M33" s="1" t="s">
        <v>128</v>
      </c>
      <c r="N33" s="21">
        <v>45470</v>
      </c>
      <c r="O33" s="1" t="s">
        <v>129</v>
      </c>
      <c r="P33" s="1" t="s">
        <v>385</v>
      </c>
      <c r="Q33" s="1"/>
    </row>
    <row r="34" spans="1:17" ht="21" customHeight="1" x14ac:dyDescent="0.45">
      <c r="A34" s="1" t="s">
        <v>28</v>
      </c>
      <c r="B34" s="1" t="s">
        <v>62</v>
      </c>
      <c r="C34" s="1" t="s">
        <v>151</v>
      </c>
      <c r="D34" s="1" t="s">
        <v>47</v>
      </c>
      <c r="E34" s="1" t="s">
        <v>152</v>
      </c>
      <c r="F34" s="1" t="s">
        <v>153</v>
      </c>
      <c r="G34" s="1" t="s">
        <v>31</v>
      </c>
      <c r="H34" s="1" t="s">
        <v>66</v>
      </c>
      <c r="I34" s="1" t="s">
        <v>67</v>
      </c>
      <c r="J34" s="1" t="s">
        <v>154</v>
      </c>
      <c r="K34" s="1" t="s">
        <v>69</v>
      </c>
      <c r="L34" s="21">
        <v>45463</v>
      </c>
      <c r="M34" s="1" t="s">
        <v>128</v>
      </c>
      <c r="N34" s="21">
        <v>45470</v>
      </c>
      <c r="O34" s="1" t="s">
        <v>129</v>
      </c>
      <c r="P34" s="1" t="s">
        <v>386</v>
      </c>
      <c r="Q34" s="1"/>
    </row>
    <row r="35" spans="1:17" ht="21" customHeight="1" x14ac:dyDescent="0.45">
      <c r="A35" s="1" t="s">
        <v>28</v>
      </c>
      <c r="B35" s="1" t="s">
        <v>62</v>
      </c>
      <c r="C35" s="1" t="s">
        <v>155</v>
      </c>
      <c r="D35" s="1" t="s">
        <v>47</v>
      </c>
      <c r="E35" s="1" t="s">
        <v>156</v>
      </c>
      <c r="F35" s="1" t="s">
        <v>157</v>
      </c>
      <c r="G35" s="1" t="s">
        <v>31</v>
      </c>
      <c r="H35" s="1" t="s">
        <v>66</v>
      </c>
      <c r="I35" s="1" t="s">
        <v>67</v>
      </c>
      <c r="J35" s="1" t="s">
        <v>158</v>
      </c>
      <c r="K35" s="1" t="s">
        <v>69</v>
      </c>
      <c r="L35" s="21">
        <v>45462</v>
      </c>
      <c r="M35" s="1" t="s">
        <v>159</v>
      </c>
      <c r="N35" s="21">
        <v>45469</v>
      </c>
      <c r="O35" s="1" t="s">
        <v>160</v>
      </c>
      <c r="P35" s="1" t="s">
        <v>387</v>
      </c>
      <c r="Q35" s="1"/>
    </row>
    <row r="36" spans="1:17" ht="21" customHeight="1" x14ac:dyDescent="0.45">
      <c r="A36" s="1" t="s">
        <v>28</v>
      </c>
      <c r="B36" s="1" t="s">
        <v>62</v>
      </c>
      <c r="C36" s="1" t="s">
        <v>161</v>
      </c>
      <c r="D36" s="1" t="s">
        <v>47</v>
      </c>
      <c r="E36" s="1" t="s">
        <v>162</v>
      </c>
      <c r="F36" s="1" t="s">
        <v>163</v>
      </c>
      <c r="G36" s="1" t="s">
        <v>32</v>
      </c>
      <c r="H36" s="1" t="s">
        <v>164</v>
      </c>
      <c r="I36" s="1" t="s">
        <v>165</v>
      </c>
      <c r="J36" s="1" t="s">
        <v>166</v>
      </c>
      <c r="K36" s="1" t="s">
        <v>167</v>
      </c>
      <c r="L36" s="21">
        <v>45463</v>
      </c>
      <c r="M36" s="1" t="s">
        <v>128</v>
      </c>
      <c r="N36" s="21">
        <v>45470</v>
      </c>
      <c r="O36" s="1" t="s">
        <v>129</v>
      </c>
      <c r="P36" s="1" t="s">
        <v>388</v>
      </c>
      <c r="Q36" s="1"/>
    </row>
    <row r="37" spans="1:17" ht="21" customHeight="1" x14ac:dyDescent="0.45">
      <c r="A37" s="1" t="s">
        <v>28</v>
      </c>
      <c r="B37" s="1" t="s">
        <v>168</v>
      </c>
      <c r="C37" s="1" t="s">
        <v>169</v>
      </c>
      <c r="D37" s="1" t="s">
        <v>47</v>
      </c>
      <c r="E37" s="1" t="s">
        <v>170</v>
      </c>
      <c r="F37" s="1" t="s">
        <v>171</v>
      </c>
      <c r="G37" s="1" t="s">
        <v>35</v>
      </c>
      <c r="H37" s="1" t="s">
        <v>66</v>
      </c>
      <c r="I37" s="1" t="s">
        <v>67</v>
      </c>
      <c r="J37" s="1" t="s">
        <v>172</v>
      </c>
      <c r="K37" s="1" t="s">
        <v>69</v>
      </c>
      <c r="L37" s="21">
        <v>45462</v>
      </c>
      <c r="M37" s="1" t="s">
        <v>159</v>
      </c>
      <c r="N37" s="21">
        <v>45469</v>
      </c>
      <c r="O37" s="1" t="s">
        <v>160</v>
      </c>
      <c r="P37" s="1" t="s">
        <v>389</v>
      </c>
      <c r="Q37" s="1"/>
    </row>
    <row r="38" spans="1:17" ht="21" customHeight="1" x14ac:dyDescent="0.45">
      <c r="A38" s="1" t="s">
        <v>28</v>
      </c>
      <c r="B38" s="1" t="s">
        <v>62</v>
      </c>
      <c r="C38" s="1" t="s">
        <v>173</v>
      </c>
      <c r="D38" s="1" t="s">
        <v>47</v>
      </c>
      <c r="E38" s="1" t="s">
        <v>174</v>
      </c>
      <c r="F38" s="1" t="s">
        <v>175</v>
      </c>
      <c r="G38" s="1" t="s">
        <v>30</v>
      </c>
      <c r="H38" s="1" t="s">
        <v>88</v>
      </c>
      <c r="I38" s="1" t="s">
        <v>82</v>
      </c>
      <c r="J38" s="1" t="s">
        <v>102</v>
      </c>
      <c r="K38" s="1" t="s">
        <v>116</v>
      </c>
      <c r="L38" s="21">
        <v>45464</v>
      </c>
      <c r="M38" s="1" t="s">
        <v>70</v>
      </c>
      <c r="N38" s="21">
        <v>45471</v>
      </c>
      <c r="O38" s="1" t="s">
        <v>71</v>
      </c>
      <c r="P38" s="1" t="s">
        <v>390</v>
      </c>
      <c r="Q38" s="1"/>
    </row>
    <row r="39" spans="1:17" ht="21" customHeight="1" x14ac:dyDescent="0.45">
      <c r="A39" s="1" t="s">
        <v>28</v>
      </c>
      <c r="B39" s="1" t="s">
        <v>45</v>
      </c>
      <c r="C39" s="1" t="s">
        <v>176</v>
      </c>
      <c r="D39" s="1" t="s">
        <v>47</v>
      </c>
      <c r="E39" s="1" t="s">
        <v>177</v>
      </c>
      <c r="F39" s="1" t="s">
        <v>178</v>
      </c>
      <c r="G39" s="1" t="s">
        <v>33</v>
      </c>
      <c r="H39" s="1" t="s">
        <v>59</v>
      </c>
      <c r="I39" s="1" t="s">
        <v>51</v>
      </c>
      <c r="J39" s="1" t="s">
        <v>52</v>
      </c>
      <c r="K39" s="1" t="s">
        <v>53</v>
      </c>
      <c r="L39" s="21">
        <v>45453</v>
      </c>
      <c r="M39" s="1" t="s">
        <v>60</v>
      </c>
      <c r="N39" s="21">
        <v>45467</v>
      </c>
      <c r="O39" s="1" t="s">
        <v>61</v>
      </c>
      <c r="P39" s="1" t="s">
        <v>391</v>
      </c>
      <c r="Q39" s="1"/>
    </row>
    <row r="40" spans="1:17" ht="21" customHeight="1" x14ac:dyDescent="0.45">
      <c r="A40" s="1" t="s">
        <v>28</v>
      </c>
      <c r="B40" s="1" t="s">
        <v>62</v>
      </c>
      <c r="C40" s="1" t="s">
        <v>179</v>
      </c>
      <c r="D40" s="1" t="s">
        <v>47</v>
      </c>
      <c r="E40" s="1" t="s">
        <v>180</v>
      </c>
      <c r="F40" s="1" t="s">
        <v>181</v>
      </c>
      <c r="G40" s="1" t="s">
        <v>31</v>
      </c>
      <c r="H40" s="1" t="s">
        <v>66</v>
      </c>
      <c r="I40" s="1" t="s">
        <v>67</v>
      </c>
      <c r="J40" s="1" t="s">
        <v>75</v>
      </c>
      <c r="K40" s="1" t="s">
        <v>69</v>
      </c>
      <c r="L40" s="21">
        <v>45463</v>
      </c>
      <c r="M40" s="1" t="s">
        <v>128</v>
      </c>
      <c r="N40" s="21">
        <v>45470</v>
      </c>
      <c r="O40" s="1" t="s">
        <v>129</v>
      </c>
      <c r="P40" s="1" t="s">
        <v>392</v>
      </c>
      <c r="Q40" s="1"/>
    </row>
    <row r="41" spans="1:17" ht="21" customHeight="1" x14ac:dyDescent="0.45">
      <c r="A41" s="1" t="s">
        <v>28</v>
      </c>
      <c r="B41" s="1" t="s">
        <v>62</v>
      </c>
      <c r="C41" s="1" t="s">
        <v>182</v>
      </c>
      <c r="D41" s="1" t="s">
        <v>99</v>
      </c>
      <c r="E41" s="1" t="s">
        <v>183</v>
      </c>
      <c r="F41" s="1" t="s">
        <v>184</v>
      </c>
      <c r="G41" s="1" t="s">
        <v>31</v>
      </c>
      <c r="H41" s="1" t="s">
        <v>66</v>
      </c>
      <c r="I41" s="1" t="s">
        <v>67</v>
      </c>
      <c r="J41" s="1" t="s">
        <v>102</v>
      </c>
      <c r="K41" s="1" t="s">
        <v>69</v>
      </c>
      <c r="L41" s="21">
        <v>45463</v>
      </c>
      <c r="M41" s="1" t="s">
        <v>103</v>
      </c>
      <c r="N41" s="21">
        <v>45470</v>
      </c>
      <c r="O41" s="1" t="s">
        <v>104</v>
      </c>
      <c r="P41" s="1" t="s">
        <v>393</v>
      </c>
      <c r="Q41" s="1"/>
    </row>
    <row r="42" spans="1:17" ht="21" customHeight="1" x14ac:dyDescent="0.45">
      <c r="A42" s="1" t="s">
        <v>28</v>
      </c>
      <c r="B42" s="1" t="s">
        <v>62</v>
      </c>
      <c r="C42" s="1" t="s">
        <v>63</v>
      </c>
      <c r="D42" s="1" t="s">
        <v>47</v>
      </c>
      <c r="E42" s="1" t="s">
        <v>185</v>
      </c>
      <c r="F42" s="1" t="s">
        <v>186</v>
      </c>
      <c r="G42" s="1" t="s">
        <v>38</v>
      </c>
      <c r="H42" s="1" t="s">
        <v>81</v>
      </c>
      <c r="I42" s="1" t="s">
        <v>82</v>
      </c>
      <c r="J42" s="1" t="s">
        <v>83</v>
      </c>
      <c r="K42" s="1" t="s">
        <v>84</v>
      </c>
      <c r="L42" s="21">
        <v>45464</v>
      </c>
      <c r="M42" s="1" t="s">
        <v>70</v>
      </c>
      <c r="N42" s="21">
        <v>45471</v>
      </c>
      <c r="O42" s="1" t="s">
        <v>71</v>
      </c>
      <c r="P42" s="1" t="s">
        <v>394</v>
      </c>
      <c r="Q42" s="1"/>
    </row>
    <row r="43" spans="1:17" ht="21" customHeight="1" x14ac:dyDescent="0.45">
      <c r="A43" s="1" t="s">
        <v>28</v>
      </c>
      <c r="B43" s="1" t="s">
        <v>62</v>
      </c>
      <c r="C43" s="1" t="s">
        <v>187</v>
      </c>
      <c r="D43" s="1" t="s">
        <v>99</v>
      </c>
      <c r="E43" s="1" t="s">
        <v>188</v>
      </c>
      <c r="F43" s="1" t="s">
        <v>189</v>
      </c>
      <c r="G43" s="1" t="s">
        <v>31</v>
      </c>
      <c r="H43" s="1" t="s">
        <v>66</v>
      </c>
      <c r="I43" s="1" t="s">
        <v>67</v>
      </c>
      <c r="J43" s="1" t="s">
        <v>154</v>
      </c>
      <c r="K43" s="1" t="s">
        <v>69</v>
      </c>
      <c r="L43" s="21">
        <v>45463</v>
      </c>
      <c r="M43" s="1" t="s">
        <v>103</v>
      </c>
      <c r="N43" s="21">
        <v>45470</v>
      </c>
      <c r="O43" s="1" t="s">
        <v>104</v>
      </c>
      <c r="P43" s="1" t="s">
        <v>395</v>
      </c>
      <c r="Q43" s="1"/>
    </row>
    <row r="44" spans="1:17" ht="21" customHeight="1" x14ac:dyDescent="0.45">
      <c r="A44" s="1" t="s">
        <v>28</v>
      </c>
      <c r="B44" s="1" t="s">
        <v>62</v>
      </c>
      <c r="C44" s="1" t="s">
        <v>190</v>
      </c>
      <c r="D44" s="1" t="s">
        <v>47</v>
      </c>
      <c r="E44" s="1" t="s">
        <v>191</v>
      </c>
      <c r="F44" s="1" t="s">
        <v>192</v>
      </c>
      <c r="G44" s="1" t="s">
        <v>31</v>
      </c>
      <c r="H44" s="1" t="s">
        <v>66</v>
      </c>
      <c r="I44" s="1" t="s">
        <v>67</v>
      </c>
      <c r="J44" s="1" t="s">
        <v>193</v>
      </c>
      <c r="K44" s="1" t="s">
        <v>127</v>
      </c>
      <c r="L44" s="21">
        <v>45463</v>
      </c>
      <c r="M44" s="1" t="s">
        <v>128</v>
      </c>
      <c r="N44" s="21">
        <v>45470</v>
      </c>
      <c r="O44" s="1" t="s">
        <v>129</v>
      </c>
      <c r="P44" s="1" t="s">
        <v>396</v>
      </c>
      <c r="Q44" s="1"/>
    </row>
    <row r="45" spans="1:17" ht="21" customHeight="1" x14ac:dyDescent="0.45">
      <c r="A45" s="1" t="s">
        <v>28</v>
      </c>
      <c r="B45" s="1" t="s">
        <v>62</v>
      </c>
      <c r="C45" s="1" t="s">
        <v>194</v>
      </c>
      <c r="D45" s="1" t="s">
        <v>47</v>
      </c>
      <c r="E45" s="1" t="s">
        <v>195</v>
      </c>
      <c r="F45" s="1" t="s">
        <v>196</v>
      </c>
      <c r="G45" s="1" t="s">
        <v>31</v>
      </c>
      <c r="H45" s="1" t="s">
        <v>66</v>
      </c>
      <c r="I45" s="1" t="s">
        <v>67</v>
      </c>
      <c r="J45" s="1" t="s">
        <v>158</v>
      </c>
      <c r="K45" s="1" t="s">
        <v>69</v>
      </c>
      <c r="L45" s="21">
        <v>45463</v>
      </c>
      <c r="M45" s="1" t="s">
        <v>128</v>
      </c>
      <c r="N45" s="21">
        <v>45470</v>
      </c>
      <c r="O45" s="1" t="s">
        <v>129</v>
      </c>
      <c r="P45" s="1" t="s">
        <v>397</v>
      </c>
      <c r="Q45" s="1"/>
    </row>
    <row r="46" spans="1:17" ht="21" customHeight="1" x14ac:dyDescent="0.45">
      <c r="A46" s="1" t="s">
        <v>28</v>
      </c>
      <c r="B46" s="1" t="s">
        <v>62</v>
      </c>
      <c r="C46" s="1" t="s">
        <v>197</v>
      </c>
      <c r="D46" s="1" t="s">
        <v>47</v>
      </c>
      <c r="E46" s="1" t="s">
        <v>198</v>
      </c>
      <c r="F46" s="1" t="s">
        <v>199</v>
      </c>
      <c r="G46" s="1" t="s">
        <v>29</v>
      </c>
      <c r="H46" s="1" t="s">
        <v>200</v>
      </c>
      <c r="I46" s="1" t="s">
        <v>51</v>
      </c>
      <c r="J46" s="1" t="s">
        <v>201</v>
      </c>
      <c r="K46" s="1" t="s">
        <v>202</v>
      </c>
      <c r="L46" s="21">
        <v>45464</v>
      </c>
      <c r="M46" s="1" t="s">
        <v>70</v>
      </c>
      <c r="N46" s="21">
        <v>45471</v>
      </c>
      <c r="O46" s="1" t="s">
        <v>71</v>
      </c>
      <c r="P46" s="1" t="s">
        <v>398</v>
      </c>
      <c r="Q46" s="1"/>
    </row>
    <row r="47" spans="1:17" ht="21" customHeight="1" x14ac:dyDescent="0.45">
      <c r="A47" s="1" t="s">
        <v>28</v>
      </c>
      <c r="B47" s="1" t="s">
        <v>62</v>
      </c>
      <c r="C47" s="1" t="s">
        <v>203</v>
      </c>
      <c r="D47" s="1" t="s">
        <v>47</v>
      </c>
      <c r="E47" s="1" t="s">
        <v>204</v>
      </c>
      <c r="F47" s="1" t="s">
        <v>205</v>
      </c>
      <c r="G47" s="1" t="s">
        <v>35</v>
      </c>
      <c r="H47" s="1" t="s">
        <v>66</v>
      </c>
      <c r="I47" s="1" t="s">
        <v>67</v>
      </c>
      <c r="J47" s="1" t="s">
        <v>206</v>
      </c>
      <c r="K47" s="1" t="s">
        <v>69</v>
      </c>
      <c r="L47" s="21">
        <v>45460</v>
      </c>
      <c r="M47" s="1" t="s">
        <v>60</v>
      </c>
      <c r="N47" s="21">
        <v>45467</v>
      </c>
      <c r="O47" s="1" t="s">
        <v>108</v>
      </c>
      <c r="P47" s="1" t="s">
        <v>399</v>
      </c>
      <c r="Q47" s="1"/>
    </row>
    <row r="48" spans="1:17" ht="21" customHeight="1" x14ac:dyDescent="0.45">
      <c r="A48" s="1" t="s">
        <v>28</v>
      </c>
      <c r="B48" s="1" t="s">
        <v>62</v>
      </c>
      <c r="C48" s="1" t="s">
        <v>207</v>
      </c>
      <c r="D48" s="1" t="s">
        <v>99</v>
      </c>
      <c r="E48" s="1" t="s">
        <v>208</v>
      </c>
      <c r="F48" s="1" t="s">
        <v>209</v>
      </c>
      <c r="G48" s="1" t="s">
        <v>31</v>
      </c>
      <c r="H48" s="1" t="s">
        <v>66</v>
      </c>
      <c r="I48" s="1" t="s">
        <v>67</v>
      </c>
      <c r="J48" s="1" t="s">
        <v>102</v>
      </c>
      <c r="K48" s="1" t="s">
        <v>69</v>
      </c>
      <c r="L48" s="21">
        <v>45463</v>
      </c>
      <c r="M48" s="1" t="s">
        <v>103</v>
      </c>
      <c r="N48" s="21">
        <v>45470</v>
      </c>
      <c r="O48" s="1" t="s">
        <v>104</v>
      </c>
      <c r="P48" s="1" t="s">
        <v>400</v>
      </c>
      <c r="Q48" s="1"/>
    </row>
    <row r="49" spans="1:17" ht="21" customHeight="1" x14ac:dyDescent="0.45">
      <c r="A49" s="1" t="s">
        <v>28</v>
      </c>
      <c r="B49" s="1" t="s">
        <v>45</v>
      </c>
      <c r="C49" s="1" t="s">
        <v>210</v>
      </c>
      <c r="D49" s="1" t="s">
        <v>47</v>
      </c>
      <c r="E49" s="1" t="s">
        <v>211</v>
      </c>
      <c r="F49" s="1" t="s">
        <v>212</v>
      </c>
      <c r="G49" s="1" t="s">
        <v>33</v>
      </c>
      <c r="H49" s="1" t="s">
        <v>59</v>
      </c>
      <c r="I49" s="1" t="s">
        <v>51</v>
      </c>
      <c r="J49" s="1" t="s">
        <v>52</v>
      </c>
      <c r="K49" s="1" t="s">
        <v>53</v>
      </c>
      <c r="L49" s="21">
        <v>45461</v>
      </c>
      <c r="M49" s="1" t="s">
        <v>123</v>
      </c>
      <c r="N49" s="21">
        <v>45467</v>
      </c>
      <c r="O49" s="1" t="s">
        <v>61</v>
      </c>
      <c r="P49" s="1" t="s">
        <v>401</v>
      </c>
      <c r="Q49" s="1"/>
    </row>
    <row r="50" spans="1:17" ht="21" customHeight="1" x14ac:dyDescent="0.45">
      <c r="A50" s="1" t="s">
        <v>28</v>
      </c>
      <c r="B50" s="1" t="s">
        <v>62</v>
      </c>
      <c r="C50" s="1" t="s">
        <v>213</v>
      </c>
      <c r="D50" s="1" t="s">
        <v>47</v>
      </c>
      <c r="E50" s="1" t="s">
        <v>214</v>
      </c>
      <c r="F50" s="1" t="s">
        <v>215</v>
      </c>
      <c r="G50" s="1" t="s">
        <v>37</v>
      </c>
      <c r="H50" s="1" t="s">
        <v>66</v>
      </c>
      <c r="I50" s="1" t="s">
        <v>67</v>
      </c>
      <c r="J50" s="1" t="s">
        <v>112</v>
      </c>
      <c r="K50" s="1" t="s">
        <v>216</v>
      </c>
      <c r="L50" s="21">
        <v>45464</v>
      </c>
      <c r="M50" s="1" t="s">
        <v>70</v>
      </c>
      <c r="N50" s="21">
        <v>45470</v>
      </c>
      <c r="O50" s="1" t="s">
        <v>129</v>
      </c>
      <c r="P50" s="1" t="s">
        <v>402</v>
      </c>
      <c r="Q50" s="1"/>
    </row>
    <row r="51" spans="1:17" ht="21" customHeight="1" x14ac:dyDescent="0.45">
      <c r="A51" s="1" t="s">
        <v>28</v>
      </c>
      <c r="B51" s="1" t="s">
        <v>62</v>
      </c>
      <c r="C51" s="1" t="s">
        <v>217</v>
      </c>
      <c r="D51" s="1" t="s">
        <v>47</v>
      </c>
      <c r="E51" s="1" t="s">
        <v>218</v>
      </c>
      <c r="F51" s="1" t="s">
        <v>219</v>
      </c>
      <c r="G51" s="1" t="s">
        <v>32</v>
      </c>
      <c r="H51" s="1" t="s">
        <v>220</v>
      </c>
      <c r="I51" s="1" t="s">
        <v>165</v>
      </c>
      <c r="J51" s="1" t="s">
        <v>75</v>
      </c>
      <c r="K51" s="1" t="s">
        <v>221</v>
      </c>
      <c r="L51" s="21">
        <v>45463</v>
      </c>
      <c r="M51" s="1" t="s">
        <v>128</v>
      </c>
      <c r="N51" s="21">
        <v>45470</v>
      </c>
      <c r="O51" s="1" t="s">
        <v>129</v>
      </c>
      <c r="P51" s="1" t="s">
        <v>403</v>
      </c>
      <c r="Q51" s="1"/>
    </row>
    <row r="52" spans="1:17" ht="21" customHeight="1" x14ac:dyDescent="0.45">
      <c r="A52" s="1" t="s">
        <v>28</v>
      </c>
      <c r="B52" s="1" t="s">
        <v>62</v>
      </c>
      <c r="C52" s="1" t="s">
        <v>222</v>
      </c>
      <c r="D52" s="1" t="s">
        <v>47</v>
      </c>
      <c r="E52" s="1" t="s">
        <v>223</v>
      </c>
      <c r="F52" s="1" t="s">
        <v>224</v>
      </c>
      <c r="G52" s="1" t="s">
        <v>31</v>
      </c>
      <c r="H52" s="1" t="s">
        <v>66</v>
      </c>
      <c r="I52" s="1" t="s">
        <v>67</v>
      </c>
      <c r="J52" s="1" t="s">
        <v>158</v>
      </c>
      <c r="K52" s="1" t="s">
        <v>69</v>
      </c>
      <c r="L52" s="21">
        <v>45463</v>
      </c>
      <c r="M52" s="1" t="s">
        <v>128</v>
      </c>
      <c r="N52" s="21">
        <v>45470</v>
      </c>
      <c r="O52" s="1" t="s">
        <v>129</v>
      </c>
      <c r="P52" s="1" t="s">
        <v>404</v>
      </c>
      <c r="Q52" s="1"/>
    </row>
    <row r="53" spans="1:17" ht="21" customHeight="1" x14ac:dyDescent="0.45">
      <c r="A53" s="1" t="s">
        <v>28</v>
      </c>
      <c r="B53" s="1" t="s">
        <v>62</v>
      </c>
      <c r="C53" s="1" t="s">
        <v>225</v>
      </c>
      <c r="D53" s="1" t="s">
        <v>47</v>
      </c>
      <c r="E53" s="1" t="s">
        <v>226</v>
      </c>
      <c r="F53" s="1" t="s">
        <v>227</v>
      </c>
      <c r="G53" s="1" t="s">
        <v>29</v>
      </c>
      <c r="H53" s="1" t="s">
        <v>200</v>
      </c>
      <c r="I53" s="1" t="s">
        <v>82</v>
      </c>
      <c r="J53" s="1" t="s">
        <v>201</v>
      </c>
      <c r="K53" s="1" t="s">
        <v>202</v>
      </c>
      <c r="L53" s="21">
        <v>45464</v>
      </c>
      <c r="M53" s="1" t="s">
        <v>70</v>
      </c>
      <c r="N53" s="21">
        <v>45471</v>
      </c>
      <c r="O53" s="1" t="s">
        <v>71</v>
      </c>
      <c r="P53" s="1" t="s">
        <v>405</v>
      </c>
      <c r="Q53" s="1"/>
    </row>
    <row r="54" spans="1:17" ht="21" customHeight="1" x14ac:dyDescent="0.45">
      <c r="A54" s="1" t="s">
        <v>28</v>
      </c>
      <c r="B54" s="1" t="s">
        <v>62</v>
      </c>
      <c r="C54" s="1" t="s">
        <v>85</v>
      </c>
      <c r="D54" s="1" t="s">
        <v>47</v>
      </c>
      <c r="E54" s="1" t="s">
        <v>228</v>
      </c>
      <c r="F54" s="1" t="s">
        <v>229</v>
      </c>
      <c r="G54" s="1" t="s">
        <v>30</v>
      </c>
      <c r="H54" s="1" t="s">
        <v>88</v>
      </c>
      <c r="I54" s="1" t="s">
        <v>82</v>
      </c>
      <c r="J54" s="1" t="s">
        <v>89</v>
      </c>
      <c r="K54" s="1" t="s">
        <v>90</v>
      </c>
      <c r="L54" s="21">
        <v>45460</v>
      </c>
      <c r="M54" s="1" t="s">
        <v>60</v>
      </c>
      <c r="N54" s="21">
        <v>45464</v>
      </c>
      <c r="O54" s="1" t="s">
        <v>71</v>
      </c>
      <c r="P54" s="1" t="s">
        <v>406</v>
      </c>
      <c r="Q54" s="1"/>
    </row>
    <row r="55" spans="1:17" ht="21" customHeight="1" x14ac:dyDescent="0.45">
      <c r="A55" s="1" t="s">
        <v>28</v>
      </c>
      <c r="B55" s="1" t="s">
        <v>230</v>
      </c>
      <c r="C55" s="1" t="s">
        <v>231</v>
      </c>
      <c r="D55" s="1" t="s">
        <v>47</v>
      </c>
      <c r="E55" s="1" t="s">
        <v>232</v>
      </c>
      <c r="F55" s="1" t="s">
        <v>233</v>
      </c>
      <c r="G55" s="1" t="s">
        <v>31</v>
      </c>
      <c r="H55" s="1" t="s">
        <v>66</v>
      </c>
      <c r="I55" s="1" t="s">
        <v>67</v>
      </c>
      <c r="J55" s="1" t="s">
        <v>68</v>
      </c>
      <c r="K55" s="1" t="s">
        <v>234</v>
      </c>
      <c r="L55" s="21">
        <v>45462</v>
      </c>
      <c r="M55" s="1" t="s">
        <v>159</v>
      </c>
      <c r="N55" s="21">
        <v>45471</v>
      </c>
      <c r="O55" s="1" t="s">
        <v>71</v>
      </c>
      <c r="P55" s="1" t="s">
        <v>407</v>
      </c>
      <c r="Q55" s="1"/>
    </row>
    <row r="56" spans="1:17" ht="21" customHeight="1" x14ac:dyDescent="0.45">
      <c r="A56" s="1" t="s">
        <v>28</v>
      </c>
      <c r="B56" s="1" t="s">
        <v>62</v>
      </c>
      <c r="C56" s="1" t="s">
        <v>235</v>
      </c>
      <c r="D56" s="1" t="s">
        <v>47</v>
      </c>
      <c r="E56" s="1" t="s">
        <v>236</v>
      </c>
      <c r="F56" s="1" t="s">
        <v>237</v>
      </c>
      <c r="G56" s="1" t="s">
        <v>35</v>
      </c>
      <c r="H56" s="1" t="s">
        <v>66</v>
      </c>
      <c r="I56" s="1" t="s">
        <v>67</v>
      </c>
      <c r="J56" s="1" t="s">
        <v>206</v>
      </c>
      <c r="K56" s="1" t="s">
        <v>69</v>
      </c>
      <c r="L56" s="21">
        <v>45460</v>
      </c>
      <c r="M56" s="1" t="s">
        <v>60</v>
      </c>
      <c r="N56" s="21">
        <v>45467</v>
      </c>
      <c r="O56" s="1" t="s">
        <v>108</v>
      </c>
      <c r="P56" s="1" t="s">
        <v>408</v>
      </c>
      <c r="Q56" s="1"/>
    </row>
    <row r="57" spans="1:17" ht="21" customHeight="1" x14ac:dyDescent="0.45">
      <c r="A57" s="1" t="s">
        <v>28</v>
      </c>
      <c r="B57" s="1" t="s">
        <v>230</v>
      </c>
      <c r="C57" s="1" t="s">
        <v>238</v>
      </c>
      <c r="D57" s="1" t="s">
        <v>47</v>
      </c>
      <c r="E57" s="1" t="s">
        <v>239</v>
      </c>
      <c r="F57" s="1" t="s">
        <v>240</v>
      </c>
      <c r="G57" s="1" t="s">
        <v>39</v>
      </c>
      <c r="H57" s="1" t="s">
        <v>50</v>
      </c>
      <c r="I57" s="1" t="s">
        <v>51</v>
      </c>
      <c r="J57" s="1" t="s">
        <v>52</v>
      </c>
      <c r="K57" s="1" t="s">
        <v>53</v>
      </c>
      <c r="L57" s="21">
        <v>45454</v>
      </c>
      <c r="M57" s="1" t="s">
        <v>54</v>
      </c>
      <c r="N57" s="21">
        <v>45468</v>
      </c>
      <c r="O57" s="1" t="s">
        <v>55</v>
      </c>
      <c r="P57" s="1" t="s">
        <v>409</v>
      </c>
      <c r="Q57" s="1"/>
    </row>
    <row r="58" spans="1:17" ht="21" customHeight="1" x14ac:dyDescent="0.45">
      <c r="A58" s="1" t="s">
        <v>28</v>
      </c>
      <c r="B58" s="1" t="s">
        <v>62</v>
      </c>
      <c r="C58" s="1" t="s">
        <v>241</v>
      </c>
      <c r="D58" s="1" t="s">
        <v>47</v>
      </c>
      <c r="E58" s="1" t="s">
        <v>242</v>
      </c>
      <c r="F58" s="1" t="s">
        <v>243</v>
      </c>
      <c r="G58" s="1" t="s">
        <v>37</v>
      </c>
      <c r="H58" s="1" t="s">
        <v>66</v>
      </c>
      <c r="I58" s="1" t="s">
        <v>67</v>
      </c>
      <c r="J58" s="1" t="s">
        <v>244</v>
      </c>
      <c r="K58" s="1" t="s">
        <v>245</v>
      </c>
      <c r="L58" s="21">
        <v>45460</v>
      </c>
      <c r="M58" s="1" t="s">
        <v>60</v>
      </c>
      <c r="N58" s="21">
        <v>45467</v>
      </c>
      <c r="O58" s="1" t="s">
        <v>108</v>
      </c>
      <c r="P58" s="1" t="s">
        <v>410</v>
      </c>
      <c r="Q58" s="1"/>
    </row>
    <row r="59" spans="1:17" ht="21" customHeight="1" x14ac:dyDescent="0.45">
      <c r="A59" s="1" t="s">
        <v>28</v>
      </c>
      <c r="B59" s="1" t="s">
        <v>45</v>
      </c>
      <c r="C59" s="1" t="s">
        <v>246</v>
      </c>
      <c r="D59" s="1" t="s">
        <v>47</v>
      </c>
      <c r="E59" s="1" t="s">
        <v>247</v>
      </c>
      <c r="F59" s="1" t="s">
        <v>248</v>
      </c>
      <c r="G59" s="1" t="s">
        <v>39</v>
      </c>
      <c r="H59" s="1" t="s">
        <v>50</v>
      </c>
      <c r="I59" s="1" t="s">
        <v>51</v>
      </c>
      <c r="J59" s="1" t="s">
        <v>52</v>
      </c>
      <c r="K59" s="1" t="s">
        <v>53</v>
      </c>
      <c r="L59" s="21">
        <v>45454</v>
      </c>
      <c r="M59" s="1" t="s">
        <v>54</v>
      </c>
      <c r="N59" s="21">
        <v>45468</v>
      </c>
      <c r="O59" s="1" t="s">
        <v>55</v>
      </c>
      <c r="P59" s="1" t="s">
        <v>411</v>
      </c>
      <c r="Q59" s="1"/>
    </row>
    <row r="60" spans="1:17" ht="21" customHeight="1" x14ac:dyDescent="0.45">
      <c r="A60" s="1" t="s">
        <v>28</v>
      </c>
      <c r="B60" s="1" t="s">
        <v>62</v>
      </c>
      <c r="C60" s="1" t="s">
        <v>249</v>
      </c>
      <c r="D60" s="1" t="s">
        <v>47</v>
      </c>
      <c r="E60" s="1" t="s">
        <v>250</v>
      </c>
      <c r="F60" s="1" t="s">
        <v>251</v>
      </c>
      <c r="G60" s="1" t="s">
        <v>31</v>
      </c>
      <c r="H60" s="1" t="s">
        <v>66</v>
      </c>
      <c r="I60" s="1" t="s">
        <v>67</v>
      </c>
      <c r="J60" s="1" t="s">
        <v>158</v>
      </c>
      <c r="K60" s="1" t="s">
        <v>69</v>
      </c>
      <c r="L60" s="21">
        <v>45464</v>
      </c>
      <c r="M60" s="1" t="s">
        <v>70</v>
      </c>
      <c r="N60" s="21">
        <v>45470</v>
      </c>
      <c r="O60" s="1" t="s">
        <v>129</v>
      </c>
      <c r="P60" s="1" t="s">
        <v>412</v>
      </c>
      <c r="Q60" s="1"/>
    </row>
    <row r="61" spans="1:17" ht="21" customHeight="1" x14ac:dyDescent="0.45">
      <c r="A61" s="1" t="s">
        <v>28</v>
      </c>
      <c r="B61" s="1" t="s">
        <v>45</v>
      </c>
      <c r="C61" s="1" t="s">
        <v>252</v>
      </c>
      <c r="D61" s="1" t="s">
        <v>47</v>
      </c>
      <c r="E61" s="1" t="s">
        <v>253</v>
      </c>
      <c r="F61" s="1" t="s">
        <v>254</v>
      </c>
      <c r="G61" s="1" t="s">
        <v>39</v>
      </c>
      <c r="H61" s="1" t="s">
        <v>50</v>
      </c>
      <c r="I61" s="1" t="s">
        <v>51</v>
      </c>
      <c r="J61" s="1" t="s">
        <v>52</v>
      </c>
      <c r="K61" s="1" t="s">
        <v>53</v>
      </c>
      <c r="L61" s="21">
        <v>45454</v>
      </c>
      <c r="M61" s="1" t="s">
        <v>54</v>
      </c>
      <c r="N61" s="21">
        <v>45468</v>
      </c>
      <c r="O61" s="1" t="s">
        <v>55</v>
      </c>
      <c r="P61" s="1" t="s">
        <v>413</v>
      </c>
      <c r="Q61" s="1"/>
    </row>
    <row r="62" spans="1:17" ht="21" customHeight="1" x14ac:dyDescent="0.45">
      <c r="A62" s="1" t="s">
        <v>28</v>
      </c>
      <c r="B62" s="1" t="s">
        <v>62</v>
      </c>
      <c r="C62" s="1" t="s">
        <v>255</v>
      </c>
      <c r="D62" s="1" t="s">
        <v>99</v>
      </c>
      <c r="E62" s="1" t="s">
        <v>256</v>
      </c>
      <c r="F62" s="1" t="s">
        <v>257</v>
      </c>
      <c r="G62" s="1" t="s">
        <v>31</v>
      </c>
      <c r="H62" s="1" t="s">
        <v>66</v>
      </c>
      <c r="I62" s="1" t="s">
        <v>67</v>
      </c>
      <c r="J62" s="1" t="s">
        <v>158</v>
      </c>
      <c r="K62" s="1" t="s">
        <v>69</v>
      </c>
      <c r="L62" s="21">
        <v>45462</v>
      </c>
      <c r="M62" s="1" t="s">
        <v>258</v>
      </c>
      <c r="N62" s="21">
        <v>45469</v>
      </c>
      <c r="O62" s="1" t="s">
        <v>259</v>
      </c>
      <c r="P62" s="1" t="s">
        <v>414</v>
      </c>
      <c r="Q62" s="1"/>
    </row>
    <row r="63" spans="1:17" ht="21" customHeight="1" x14ac:dyDescent="0.45">
      <c r="A63" s="1" t="s">
        <v>28</v>
      </c>
      <c r="B63" s="1" t="s">
        <v>260</v>
      </c>
      <c r="C63" s="1" t="s">
        <v>261</v>
      </c>
      <c r="D63" s="1" t="s">
        <v>47</v>
      </c>
      <c r="E63" s="1" t="s">
        <v>262</v>
      </c>
      <c r="F63" s="1" t="s">
        <v>263</v>
      </c>
      <c r="G63" s="1" t="s">
        <v>32</v>
      </c>
      <c r="H63" s="1" t="s">
        <v>264</v>
      </c>
      <c r="I63" s="1" t="s">
        <v>165</v>
      </c>
      <c r="J63" s="1" t="s">
        <v>83</v>
      </c>
      <c r="K63" s="1" t="s">
        <v>265</v>
      </c>
      <c r="L63" s="21">
        <v>45457</v>
      </c>
      <c r="M63" s="1" t="s">
        <v>70</v>
      </c>
      <c r="N63" s="21">
        <v>45464</v>
      </c>
      <c r="O63" s="1" t="s">
        <v>71</v>
      </c>
      <c r="P63" s="1" t="s">
        <v>415</v>
      </c>
      <c r="Q63" s="1"/>
    </row>
    <row r="64" spans="1:17" ht="21" customHeight="1" x14ac:dyDescent="0.45">
      <c r="A64" s="1" t="s">
        <v>28</v>
      </c>
      <c r="B64" s="1" t="s">
        <v>45</v>
      </c>
      <c r="C64" s="1" t="s">
        <v>266</v>
      </c>
      <c r="D64" s="1" t="s">
        <v>47</v>
      </c>
      <c r="E64" s="1" t="s">
        <v>267</v>
      </c>
      <c r="F64" s="1" t="s">
        <v>268</v>
      </c>
      <c r="G64" s="1" t="s">
        <v>39</v>
      </c>
      <c r="H64" s="1" t="s">
        <v>50</v>
      </c>
      <c r="I64" s="1" t="s">
        <v>51</v>
      </c>
      <c r="J64" s="1" t="s">
        <v>52</v>
      </c>
      <c r="K64" s="1" t="s">
        <v>53</v>
      </c>
      <c r="L64" s="21">
        <v>45454</v>
      </c>
      <c r="M64" s="1" t="s">
        <v>54</v>
      </c>
      <c r="N64" s="21">
        <v>45468</v>
      </c>
      <c r="O64" s="1" t="s">
        <v>55</v>
      </c>
      <c r="P64" s="1" t="s">
        <v>416</v>
      </c>
      <c r="Q64" s="1"/>
    </row>
    <row r="65" spans="1:17" ht="21" customHeight="1" x14ac:dyDescent="0.45">
      <c r="A65" s="1" t="s">
        <v>28</v>
      </c>
      <c r="B65" s="1" t="s">
        <v>62</v>
      </c>
      <c r="C65" s="1" t="s">
        <v>269</v>
      </c>
      <c r="D65" s="1" t="s">
        <v>99</v>
      </c>
      <c r="E65" s="1" t="s">
        <v>270</v>
      </c>
      <c r="F65" s="1" t="s">
        <v>271</v>
      </c>
      <c r="G65" s="1" t="s">
        <v>31</v>
      </c>
      <c r="H65" s="1" t="s">
        <v>66</v>
      </c>
      <c r="I65" s="1" t="s">
        <v>67</v>
      </c>
      <c r="J65" s="1" t="s">
        <v>102</v>
      </c>
      <c r="K65" s="1" t="s">
        <v>69</v>
      </c>
      <c r="L65" s="21">
        <v>45463</v>
      </c>
      <c r="M65" s="1" t="s">
        <v>103</v>
      </c>
      <c r="N65" s="21">
        <v>45469</v>
      </c>
      <c r="O65" s="1" t="s">
        <v>259</v>
      </c>
      <c r="P65" s="1" t="s">
        <v>417</v>
      </c>
      <c r="Q65" s="1"/>
    </row>
    <row r="66" spans="1:17" ht="21" customHeight="1" x14ac:dyDescent="0.45">
      <c r="A66" s="1" t="s">
        <v>28</v>
      </c>
      <c r="B66" s="1" t="s">
        <v>45</v>
      </c>
      <c r="C66" s="1" t="s">
        <v>272</v>
      </c>
      <c r="D66" s="1" t="s">
        <v>47</v>
      </c>
      <c r="E66" s="1" t="s">
        <v>273</v>
      </c>
      <c r="F66" s="1" t="s">
        <v>274</v>
      </c>
      <c r="G66" s="1" t="s">
        <v>33</v>
      </c>
      <c r="H66" s="1" t="s">
        <v>59</v>
      </c>
      <c r="I66" s="1" t="s">
        <v>51</v>
      </c>
      <c r="J66" s="1" t="s">
        <v>52</v>
      </c>
      <c r="K66" s="1" t="s">
        <v>53</v>
      </c>
      <c r="L66" s="21">
        <v>45453</v>
      </c>
      <c r="M66" s="1" t="s">
        <v>60</v>
      </c>
      <c r="N66" s="21">
        <v>45467</v>
      </c>
      <c r="O66" s="1" t="s">
        <v>61</v>
      </c>
      <c r="P66" s="1" t="s">
        <v>418</v>
      </c>
      <c r="Q66" s="1"/>
    </row>
    <row r="67" spans="1:17" ht="21" customHeight="1" x14ac:dyDescent="0.45">
      <c r="A67" s="1" t="s">
        <v>28</v>
      </c>
      <c r="B67" s="1" t="s">
        <v>45</v>
      </c>
      <c r="C67" s="1" t="s">
        <v>275</v>
      </c>
      <c r="D67" s="1" t="s">
        <v>47</v>
      </c>
      <c r="E67" s="1" t="s">
        <v>276</v>
      </c>
      <c r="F67" s="1" t="s">
        <v>277</v>
      </c>
      <c r="G67" s="1" t="s">
        <v>39</v>
      </c>
      <c r="H67" s="1" t="s">
        <v>50</v>
      </c>
      <c r="I67" s="1" t="s">
        <v>51</v>
      </c>
      <c r="J67" s="1" t="s">
        <v>52</v>
      </c>
      <c r="K67" s="1" t="s">
        <v>53</v>
      </c>
      <c r="L67" s="21">
        <v>45454</v>
      </c>
      <c r="M67" s="1" t="s">
        <v>54</v>
      </c>
      <c r="N67" s="21">
        <v>45468</v>
      </c>
      <c r="O67" s="1" t="s">
        <v>55</v>
      </c>
      <c r="P67" s="1" t="s">
        <v>419</v>
      </c>
      <c r="Q67" s="1"/>
    </row>
    <row r="68" spans="1:17" ht="21" customHeight="1" x14ac:dyDescent="0.45">
      <c r="A68" s="1" t="s">
        <v>28</v>
      </c>
      <c r="B68" s="1" t="s">
        <v>62</v>
      </c>
      <c r="C68" s="1" t="s">
        <v>78</v>
      </c>
      <c r="D68" s="1" t="s">
        <v>47</v>
      </c>
      <c r="E68" s="1" t="s">
        <v>278</v>
      </c>
      <c r="F68" s="1" t="s">
        <v>279</v>
      </c>
      <c r="G68" s="1" t="s">
        <v>38</v>
      </c>
      <c r="H68" s="1" t="s">
        <v>81</v>
      </c>
      <c r="I68" s="1" t="s">
        <v>82</v>
      </c>
      <c r="J68" s="1" t="s">
        <v>83</v>
      </c>
      <c r="K68" s="1" t="s">
        <v>84</v>
      </c>
      <c r="L68" s="21">
        <v>45457</v>
      </c>
      <c r="M68" s="1" t="s">
        <v>70</v>
      </c>
      <c r="N68" s="21">
        <v>45464</v>
      </c>
      <c r="O68" s="1" t="s">
        <v>71</v>
      </c>
      <c r="P68" s="1" t="s">
        <v>420</v>
      </c>
      <c r="Q68" s="1"/>
    </row>
    <row r="69" spans="1:17" ht="21" customHeight="1" x14ac:dyDescent="0.45">
      <c r="A69" s="1" t="s">
        <v>28</v>
      </c>
      <c r="B69" s="1" t="s">
        <v>62</v>
      </c>
      <c r="C69" s="1" t="s">
        <v>117</v>
      </c>
      <c r="D69" s="1" t="s">
        <v>47</v>
      </c>
      <c r="E69" s="1" t="s">
        <v>280</v>
      </c>
      <c r="F69" s="1" t="s">
        <v>281</v>
      </c>
      <c r="G69" s="1" t="s">
        <v>38</v>
      </c>
      <c r="H69" s="1" t="s">
        <v>81</v>
      </c>
      <c r="I69" s="1" t="s">
        <v>82</v>
      </c>
      <c r="J69" s="1" t="s">
        <v>83</v>
      </c>
      <c r="K69" s="1" t="s">
        <v>84</v>
      </c>
      <c r="L69" s="21">
        <v>45457</v>
      </c>
      <c r="M69" s="1" t="s">
        <v>70</v>
      </c>
      <c r="N69" s="21">
        <v>45464</v>
      </c>
      <c r="O69" s="1" t="s">
        <v>71</v>
      </c>
      <c r="P69" s="1" t="s">
        <v>421</v>
      </c>
      <c r="Q69" s="1"/>
    </row>
    <row r="70" spans="1:17" ht="21" customHeight="1" x14ac:dyDescent="0.45">
      <c r="A70" s="1" t="s">
        <v>28</v>
      </c>
      <c r="B70" s="1" t="s">
        <v>62</v>
      </c>
      <c r="C70" s="1" t="s">
        <v>109</v>
      </c>
      <c r="D70" s="1" t="s">
        <v>47</v>
      </c>
      <c r="E70" s="1" t="s">
        <v>282</v>
      </c>
      <c r="F70" s="1" t="s">
        <v>283</v>
      </c>
      <c r="G70" s="1" t="s">
        <v>37</v>
      </c>
      <c r="H70" s="1" t="s">
        <v>66</v>
      </c>
      <c r="I70" s="1" t="s">
        <v>67</v>
      </c>
      <c r="J70" s="1" t="s">
        <v>284</v>
      </c>
      <c r="K70" s="1" t="s">
        <v>69</v>
      </c>
      <c r="L70" s="21">
        <v>45460</v>
      </c>
      <c r="M70" s="1" t="s">
        <v>60</v>
      </c>
      <c r="N70" s="21">
        <v>45464</v>
      </c>
      <c r="O70" s="1" t="s">
        <v>71</v>
      </c>
      <c r="P70" s="1" t="s">
        <v>422</v>
      </c>
      <c r="Q70" s="1"/>
    </row>
    <row r="71" spans="1:17" ht="21" customHeight="1" x14ac:dyDescent="0.45">
      <c r="A71" s="1" t="s">
        <v>28</v>
      </c>
      <c r="B71" s="1" t="s">
        <v>62</v>
      </c>
      <c r="C71" s="1" t="s">
        <v>285</v>
      </c>
      <c r="D71" s="1" t="s">
        <v>47</v>
      </c>
      <c r="E71" s="1" t="s">
        <v>286</v>
      </c>
      <c r="F71" s="1" t="s">
        <v>287</v>
      </c>
      <c r="G71" s="1" t="s">
        <v>36</v>
      </c>
      <c r="H71" s="1" t="s">
        <v>288</v>
      </c>
      <c r="I71" s="1" t="s">
        <v>165</v>
      </c>
      <c r="J71" s="1" t="s">
        <v>289</v>
      </c>
      <c r="K71" s="1" t="s">
        <v>290</v>
      </c>
      <c r="L71" s="21">
        <v>45460</v>
      </c>
      <c r="M71" s="1" t="s">
        <v>60</v>
      </c>
      <c r="N71" s="21">
        <v>45467</v>
      </c>
      <c r="O71" s="1" t="s">
        <v>61</v>
      </c>
      <c r="P71" s="1" t="s">
        <v>423</v>
      </c>
      <c r="Q71" s="1"/>
    </row>
    <row r="72" spans="1:17" ht="21" customHeight="1" x14ac:dyDescent="0.45">
      <c r="A72" s="1" t="s">
        <v>28</v>
      </c>
      <c r="B72" s="1" t="s">
        <v>45</v>
      </c>
      <c r="C72" s="1" t="s">
        <v>291</v>
      </c>
      <c r="D72" s="1" t="s">
        <v>47</v>
      </c>
      <c r="E72" s="1" t="s">
        <v>292</v>
      </c>
      <c r="F72" s="1" t="s">
        <v>293</v>
      </c>
      <c r="G72" s="1" t="s">
        <v>33</v>
      </c>
      <c r="H72" s="1" t="s">
        <v>59</v>
      </c>
      <c r="I72" s="1" t="s">
        <v>51</v>
      </c>
      <c r="J72" s="1" t="s">
        <v>52</v>
      </c>
      <c r="K72" s="1" t="s">
        <v>53</v>
      </c>
      <c r="L72" s="21">
        <v>45453</v>
      </c>
      <c r="M72" s="1" t="s">
        <v>60</v>
      </c>
      <c r="N72" s="21">
        <v>45467</v>
      </c>
      <c r="O72" s="1" t="s">
        <v>61</v>
      </c>
      <c r="P72" s="1" t="s">
        <v>424</v>
      </c>
      <c r="Q72" s="1"/>
    </row>
    <row r="73" spans="1:17" ht="21" customHeight="1" x14ac:dyDescent="0.45">
      <c r="A73" s="1" t="s">
        <v>28</v>
      </c>
      <c r="B73" s="1" t="s">
        <v>62</v>
      </c>
      <c r="C73" s="1" t="s">
        <v>294</v>
      </c>
      <c r="D73" s="1" t="s">
        <v>47</v>
      </c>
      <c r="E73" s="1" t="s">
        <v>295</v>
      </c>
      <c r="F73" s="1" t="s">
        <v>296</v>
      </c>
      <c r="G73" s="1" t="s">
        <v>38</v>
      </c>
      <c r="H73" s="1" t="s">
        <v>81</v>
      </c>
      <c r="I73" s="1" t="s">
        <v>82</v>
      </c>
      <c r="J73" s="1" t="s">
        <v>83</v>
      </c>
      <c r="K73" s="1" t="s">
        <v>84</v>
      </c>
      <c r="L73" s="21">
        <v>45464</v>
      </c>
      <c r="M73" s="1" t="s">
        <v>70</v>
      </c>
      <c r="N73" s="21">
        <v>45471</v>
      </c>
      <c r="O73" s="1" t="s">
        <v>71</v>
      </c>
      <c r="P73" s="1" t="s">
        <v>425</v>
      </c>
      <c r="Q73" s="1"/>
    </row>
    <row r="74" spans="1:17" ht="21" customHeight="1" x14ac:dyDescent="0.45">
      <c r="A74" s="1" t="s">
        <v>28</v>
      </c>
      <c r="B74" s="1" t="s">
        <v>62</v>
      </c>
      <c r="C74" s="1" t="s">
        <v>297</v>
      </c>
      <c r="D74" s="1" t="s">
        <v>47</v>
      </c>
      <c r="E74" s="1" t="s">
        <v>298</v>
      </c>
      <c r="F74" s="1" t="s">
        <v>299</v>
      </c>
      <c r="G74" s="1" t="s">
        <v>31</v>
      </c>
      <c r="H74" s="1" t="s">
        <v>66</v>
      </c>
      <c r="I74" s="1" t="s">
        <v>67</v>
      </c>
      <c r="J74" s="1" t="s">
        <v>75</v>
      </c>
      <c r="K74" s="1" t="s">
        <v>69</v>
      </c>
      <c r="L74" s="21">
        <v>45463</v>
      </c>
      <c r="M74" s="1" t="s">
        <v>128</v>
      </c>
      <c r="N74" s="21">
        <v>45470</v>
      </c>
      <c r="O74" s="1" t="s">
        <v>129</v>
      </c>
      <c r="P74" s="1" t="s">
        <v>426</v>
      </c>
      <c r="Q74" s="1"/>
    </row>
    <row r="75" spans="1:17" ht="21" customHeight="1" x14ac:dyDescent="0.45">
      <c r="A75" s="1" t="s">
        <v>28</v>
      </c>
      <c r="B75" s="1" t="s">
        <v>62</v>
      </c>
      <c r="C75" s="1" t="s">
        <v>300</v>
      </c>
      <c r="D75" s="1" t="s">
        <v>47</v>
      </c>
      <c r="E75" s="1" t="s">
        <v>301</v>
      </c>
      <c r="F75" s="1" t="s">
        <v>302</v>
      </c>
      <c r="G75" s="1" t="s">
        <v>35</v>
      </c>
      <c r="H75" s="1" t="s">
        <v>66</v>
      </c>
      <c r="I75" s="1" t="s">
        <v>67</v>
      </c>
      <c r="J75" s="1" t="s">
        <v>172</v>
      </c>
      <c r="K75" s="1" t="s">
        <v>69</v>
      </c>
      <c r="L75" s="21">
        <v>45460</v>
      </c>
      <c r="M75" s="1" t="s">
        <v>60</v>
      </c>
      <c r="N75" s="21">
        <v>45467</v>
      </c>
      <c r="O75" s="1" t="s">
        <v>108</v>
      </c>
      <c r="P75" s="1" t="s">
        <v>427</v>
      </c>
      <c r="Q75" s="1"/>
    </row>
    <row r="76" spans="1:17" ht="21" customHeight="1" x14ac:dyDescent="0.45">
      <c r="A76" s="1" t="s">
        <v>28</v>
      </c>
      <c r="B76" s="1" t="s">
        <v>62</v>
      </c>
      <c r="C76" s="1" t="s">
        <v>303</v>
      </c>
      <c r="D76" s="1" t="s">
        <v>99</v>
      </c>
      <c r="E76" s="1" t="s">
        <v>304</v>
      </c>
      <c r="F76" s="1" t="s">
        <v>305</v>
      </c>
      <c r="G76" s="1" t="s">
        <v>31</v>
      </c>
      <c r="H76" s="1" t="s">
        <v>66</v>
      </c>
      <c r="I76" s="1" t="s">
        <v>67</v>
      </c>
      <c r="J76" s="1" t="s">
        <v>102</v>
      </c>
      <c r="K76" s="1" t="s">
        <v>69</v>
      </c>
      <c r="L76" s="21">
        <v>45463</v>
      </c>
      <c r="M76" s="1" t="s">
        <v>103</v>
      </c>
      <c r="N76" s="21">
        <v>45470</v>
      </c>
      <c r="O76" s="1" t="s">
        <v>104</v>
      </c>
      <c r="P76" s="1" t="s">
        <v>428</v>
      </c>
      <c r="Q76" s="1"/>
    </row>
    <row r="77" spans="1:17" ht="21" customHeight="1" x14ac:dyDescent="0.45">
      <c r="A77" s="1" t="s">
        <v>28</v>
      </c>
      <c r="B77" s="1" t="s">
        <v>62</v>
      </c>
      <c r="C77" s="1" t="s">
        <v>306</v>
      </c>
      <c r="D77" s="1" t="s">
        <v>99</v>
      </c>
      <c r="E77" s="1" t="s">
        <v>307</v>
      </c>
      <c r="F77" s="1" t="s">
        <v>308</v>
      </c>
      <c r="G77" s="1" t="s">
        <v>31</v>
      </c>
      <c r="H77" s="1" t="s">
        <v>66</v>
      </c>
      <c r="I77" s="1" t="s">
        <v>67</v>
      </c>
      <c r="J77" s="1" t="s">
        <v>309</v>
      </c>
      <c r="K77" s="1" t="s">
        <v>69</v>
      </c>
      <c r="L77" s="21">
        <v>45464</v>
      </c>
      <c r="M77" s="1" t="s">
        <v>70</v>
      </c>
      <c r="N77" s="21">
        <v>45469</v>
      </c>
      <c r="O77" s="1" t="s">
        <v>259</v>
      </c>
      <c r="P77" s="1" t="s">
        <v>429</v>
      </c>
      <c r="Q77" s="1"/>
    </row>
    <row r="78" spans="1:17" ht="21" customHeight="1" x14ac:dyDescent="0.45">
      <c r="A78" s="1" t="s">
        <v>28</v>
      </c>
      <c r="B78" s="1" t="s">
        <v>45</v>
      </c>
      <c r="C78" s="1" t="s">
        <v>310</v>
      </c>
      <c r="D78" s="1" t="s">
        <v>47</v>
      </c>
      <c r="E78" s="1" t="s">
        <v>311</v>
      </c>
      <c r="F78" s="1" t="s">
        <v>312</v>
      </c>
      <c r="G78" s="1" t="s">
        <v>33</v>
      </c>
      <c r="H78" s="1" t="s">
        <v>59</v>
      </c>
      <c r="I78" s="1" t="s">
        <v>51</v>
      </c>
      <c r="J78" s="1" t="s">
        <v>52</v>
      </c>
      <c r="K78" s="1" t="s">
        <v>53</v>
      </c>
      <c r="L78" s="21">
        <v>45453</v>
      </c>
      <c r="M78" s="1" t="s">
        <v>60</v>
      </c>
      <c r="N78" s="21">
        <v>45467</v>
      </c>
      <c r="O78" s="1" t="s">
        <v>61</v>
      </c>
      <c r="P78" s="1" t="s">
        <v>430</v>
      </c>
      <c r="Q78" s="1"/>
    </row>
    <row r="79" spans="1:17" ht="21" customHeight="1" x14ac:dyDescent="0.45">
      <c r="A79" s="1" t="s">
        <v>28</v>
      </c>
      <c r="B79" s="1" t="s">
        <v>62</v>
      </c>
      <c r="C79" s="1" t="s">
        <v>313</v>
      </c>
      <c r="D79" s="1" t="s">
        <v>47</v>
      </c>
      <c r="E79" s="1" t="s">
        <v>314</v>
      </c>
      <c r="F79" s="1" t="s">
        <v>315</v>
      </c>
      <c r="G79" s="1" t="s">
        <v>31</v>
      </c>
      <c r="H79" s="1" t="s">
        <v>66</v>
      </c>
      <c r="I79" s="1" t="s">
        <v>67</v>
      </c>
      <c r="J79" s="1" t="s">
        <v>158</v>
      </c>
      <c r="K79" s="1" t="s">
        <v>69</v>
      </c>
      <c r="L79" s="21">
        <v>45463</v>
      </c>
      <c r="M79" s="1" t="s">
        <v>128</v>
      </c>
      <c r="N79" s="21">
        <v>45470</v>
      </c>
      <c r="O79" s="1" t="s">
        <v>129</v>
      </c>
      <c r="P79" s="1" t="s">
        <v>431</v>
      </c>
      <c r="Q79" s="1"/>
    </row>
    <row r="80" spans="1:17" ht="21" customHeight="1" x14ac:dyDescent="0.45">
      <c r="A80" s="1" t="s">
        <v>28</v>
      </c>
      <c r="B80" s="1" t="s">
        <v>62</v>
      </c>
      <c r="C80" s="1" t="s">
        <v>316</v>
      </c>
      <c r="D80" s="1" t="s">
        <v>47</v>
      </c>
      <c r="E80" s="1" t="s">
        <v>317</v>
      </c>
      <c r="F80" s="1" t="s">
        <v>318</v>
      </c>
      <c r="G80" s="1" t="s">
        <v>37</v>
      </c>
      <c r="H80" s="1" t="s">
        <v>66</v>
      </c>
      <c r="I80" s="1" t="s">
        <v>67</v>
      </c>
      <c r="J80" s="1" t="s">
        <v>319</v>
      </c>
      <c r="K80" s="1" t="s">
        <v>320</v>
      </c>
      <c r="L80" s="21">
        <v>45460</v>
      </c>
      <c r="M80" s="1" t="s">
        <v>60</v>
      </c>
      <c r="N80" s="21">
        <v>45467</v>
      </c>
      <c r="O80" s="1" t="s">
        <v>108</v>
      </c>
      <c r="P80" s="1" t="s">
        <v>432</v>
      </c>
      <c r="Q80" s="1"/>
    </row>
    <row r="81" spans="1:17" ht="21" customHeight="1" x14ac:dyDescent="0.45">
      <c r="A81" s="1" t="s">
        <v>28</v>
      </c>
      <c r="B81" s="1" t="s">
        <v>45</v>
      </c>
      <c r="C81" s="1" t="s">
        <v>321</v>
      </c>
      <c r="D81" s="1" t="s">
        <v>47</v>
      </c>
      <c r="E81" s="1" t="s">
        <v>322</v>
      </c>
      <c r="F81" s="1" t="s">
        <v>323</v>
      </c>
      <c r="G81" s="1" t="s">
        <v>33</v>
      </c>
      <c r="H81" s="1" t="s">
        <v>59</v>
      </c>
      <c r="I81" s="1" t="s">
        <v>51</v>
      </c>
      <c r="J81" s="1" t="s">
        <v>52</v>
      </c>
      <c r="K81" s="1" t="s">
        <v>53</v>
      </c>
      <c r="L81" s="21">
        <v>45453</v>
      </c>
      <c r="M81" s="1" t="s">
        <v>60</v>
      </c>
      <c r="N81" s="21">
        <v>45467</v>
      </c>
      <c r="O81" s="1" t="s">
        <v>61</v>
      </c>
      <c r="P81" s="1" t="s">
        <v>433</v>
      </c>
      <c r="Q81" s="1"/>
    </row>
    <row r="82" spans="1:17" ht="21" customHeight="1" x14ac:dyDescent="0.45">
      <c r="A82" s="1" t="s">
        <v>28</v>
      </c>
      <c r="B82" s="1" t="s">
        <v>324</v>
      </c>
      <c r="C82" s="1" t="s">
        <v>325</v>
      </c>
      <c r="D82" s="1" t="s">
        <v>47</v>
      </c>
      <c r="E82" s="1" t="s">
        <v>326</v>
      </c>
      <c r="F82" s="1" t="s">
        <v>327</v>
      </c>
      <c r="G82" s="1" t="s">
        <v>29</v>
      </c>
      <c r="H82" s="1" t="s">
        <v>200</v>
      </c>
      <c r="I82" s="1" t="s">
        <v>82</v>
      </c>
      <c r="J82" s="1" t="s">
        <v>201</v>
      </c>
      <c r="K82" s="1" t="s">
        <v>202</v>
      </c>
      <c r="L82" s="21">
        <v>45464</v>
      </c>
      <c r="M82" s="1" t="s">
        <v>70</v>
      </c>
      <c r="N82" s="21">
        <v>45471</v>
      </c>
      <c r="O82" s="1" t="s">
        <v>71</v>
      </c>
      <c r="P82" s="1" t="s">
        <v>434</v>
      </c>
      <c r="Q82" s="1"/>
    </row>
    <row r="83" spans="1:17" ht="21" customHeight="1" x14ac:dyDescent="0.45">
      <c r="A83" s="1" t="s">
        <v>28</v>
      </c>
      <c r="B83" s="1" t="s">
        <v>62</v>
      </c>
      <c r="C83" s="1" t="s">
        <v>328</v>
      </c>
      <c r="D83" s="1" t="s">
        <v>47</v>
      </c>
      <c r="E83" s="1" t="s">
        <v>329</v>
      </c>
      <c r="F83" s="1" t="s">
        <v>330</v>
      </c>
      <c r="G83" s="1" t="s">
        <v>38</v>
      </c>
      <c r="H83" s="1" t="s">
        <v>81</v>
      </c>
      <c r="I83" s="1" t="s">
        <v>82</v>
      </c>
      <c r="J83" s="1" t="s">
        <v>83</v>
      </c>
      <c r="K83" s="1" t="s">
        <v>84</v>
      </c>
      <c r="L83" s="21">
        <v>45457</v>
      </c>
      <c r="M83" s="1" t="s">
        <v>70</v>
      </c>
      <c r="N83" s="21">
        <v>45464</v>
      </c>
      <c r="O83" s="1" t="s">
        <v>71</v>
      </c>
      <c r="P83" s="1" t="s">
        <v>435</v>
      </c>
      <c r="Q83" s="1"/>
    </row>
    <row r="84" spans="1:17" ht="21" customHeight="1" x14ac:dyDescent="0.45">
      <c r="A84" s="1" t="s">
        <v>28</v>
      </c>
      <c r="B84" s="1" t="s">
        <v>62</v>
      </c>
      <c r="C84" s="1" t="s">
        <v>294</v>
      </c>
      <c r="D84" s="1" t="s">
        <v>47</v>
      </c>
      <c r="E84" s="1" t="s">
        <v>331</v>
      </c>
      <c r="F84" s="1" t="s">
        <v>332</v>
      </c>
      <c r="G84" s="1" t="s">
        <v>38</v>
      </c>
      <c r="H84" s="1" t="s">
        <v>81</v>
      </c>
      <c r="I84" s="1" t="s">
        <v>82</v>
      </c>
      <c r="J84" s="1" t="s">
        <v>83</v>
      </c>
      <c r="K84" s="1" t="s">
        <v>84</v>
      </c>
      <c r="L84" s="21">
        <v>45457</v>
      </c>
      <c r="M84" s="1" t="s">
        <v>70</v>
      </c>
      <c r="N84" s="21">
        <v>45464</v>
      </c>
      <c r="O84" s="1" t="s">
        <v>71</v>
      </c>
      <c r="P84" s="1" t="s">
        <v>436</v>
      </c>
      <c r="Q84" s="1"/>
    </row>
    <row r="85" spans="1:17" ht="21" customHeight="1" x14ac:dyDescent="0.45">
      <c r="A85" s="1" t="s">
        <v>28</v>
      </c>
      <c r="B85" s="1" t="s">
        <v>62</v>
      </c>
      <c r="C85" s="1" t="s">
        <v>333</v>
      </c>
      <c r="D85" s="1" t="s">
        <v>47</v>
      </c>
      <c r="E85" s="1" t="s">
        <v>334</v>
      </c>
      <c r="F85" s="1" t="s">
        <v>335</v>
      </c>
      <c r="G85" s="1" t="s">
        <v>31</v>
      </c>
      <c r="H85" s="1" t="s">
        <v>66</v>
      </c>
      <c r="I85" s="1" t="s">
        <v>67</v>
      </c>
      <c r="J85" s="1" t="s">
        <v>158</v>
      </c>
      <c r="K85" s="1" t="s">
        <v>69</v>
      </c>
      <c r="L85" s="21">
        <v>45462</v>
      </c>
      <c r="M85" s="1" t="s">
        <v>159</v>
      </c>
      <c r="N85" s="21">
        <v>45467</v>
      </c>
      <c r="O85" s="1" t="s">
        <v>108</v>
      </c>
      <c r="P85" s="1" t="s">
        <v>437</v>
      </c>
      <c r="Q85" s="1"/>
    </row>
    <row r="86" spans="1:17" ht="21" customHeight="1" x14ac:dyDescent="0.45">
      <c r="A86" s="1" t="s">
        <v>28</v>
      </c>
      <c r="B86" s="1" t="s">
        <v>260</v>
      </c>
      <c r="C86" s="1" t="s">
        <v>261</v>
      </c>
      <c r="D86" s="1" t="s">
        <v>47</v>
      </c>
      <c r="E86" s="1" t="s">
        <v>336</v>
      </c>
      <c r="F86" s="1" t="s">
        <v>337</v>
      </c>
      <c r="G86" s="1" t="s">
        <v>34</v>
      </c>
      <c r="H86" s="1" t="s">
        <v>66</v>
      </c>
      <c r="I86" s="1" t="s">
        <v>67</v>
      </c>
      <c r="J86" s="1" t="s">
        <v>83</v>
      </c>
      <c r="K86" s="1" t="s">
        <v>338</v>
      </c>
      <c r="L86" s="21">
        <v>45464</v>
      </c>
      <c r="M86" s="1" t="s">
        <v>70</v>
      </c>
      <c r="N86" s="21">
        <v>45471</v>
      </c>
      <c r="O86" s="1" t="s">
        <v>71</v>
      </c>
      <c r="P86" s="1" t="s">
        <v>438</v>
      </c>
      <c r="Q86" s="1"/>
    </row>
    <row r="87" spans="1:17" ht="21" customHeight="1" x14ac:dyDescent="0.45">
      <c r="A87" s="1" t="s">
        <v>28</v>
      </c>
      <c r="B87" s="1" t="s">
        <v>62</v>
      </c>
      <c r="C87" s="1" t="s">
        <v>339</v>
      </c>
      <c r="D87" s="1" t="s">
        <v>47</v>
      </c>
      <c r="E87" s="1" t="s">
        <v>340</v>
      </c>
      <c r="F87" s="1" t="s">
        <v>341</v>
      </c>
      <c r="G87" s="1" t="s">
        <v>32</v>
      </c>
      <c r="H87" s="1" t="s">
        <v>342</v>
      </c>
      <c r="I87" s="1" t="s">
        <v>165</v>
      </c>
      <c r="J87" s="1" t="s">
        <v>52</v>
      </c>
      <c r="K87" s="1" t="s">
        <v>53</v>
      </c>
      <c r="L87" s="21">
        <v>45463</v>
      </c>
      <c r="M87" s="1" t="s">
        <v>128</v>
      </c>
      <c r="N87" s="21">
        <v>45470</v>
      </c>
      <c r="O87" s="1" t="s">
        <v>129</v>
      </c>
      <c r="P87" s="1" t="s">
        <v>439</v>
      </c>
      <c r="Q87" s="1"/>
    </row>
    <row r="88" spans="1:17" ht="21" customHeight="1" x14ac:dyDescent="0.45">
      <c r="A88" s="1" t="s">
        <v>28</v>
      </c>
      <c r="B88" s="1" t="s">
        <v>62</v>
      </c>
      <c r="C88" s="1" t="s">
        <v>343</v>
      </c>
      <c r="D88" s="1" t="s">
        <v>99</v>
      </c>
      <c r="E88" s="1" t="s">
        <v>344</v>
      </c>
      <c r="F88" s="1" t="s">
        <v>345</v>
      </c>
      <c r="G88" s="1" t="s">
        <v>31</v>
      </c>
      <c r="H88" s="1" t="s">
        <v>66</v>
      </c>
      <c r="I88" s="1" t="s">
        <v>67</v>
      </c>
      <c r="J88" s="1" t="s">
        <v>102</v>
      </c>
      <c r="K88" s="1" t="s">
        <v>346</v>
      </c>
      <c r="L88" s="21">
        <v>45464</v>
      </c>
      <c r="M88" s="1" t="s">
        <v>70</v>
      </c>
      <c r="N88" s="21">
        <v>45470</v>
      </c>
      <c r="O88" s="1" t="s">
        <v>104</v>
      </c>
      <c r="P88" s="1" t="s">
        <v>440</v>
      </c>
      <c r="Q88" s="1"/>
    </row>
    <row r="89" spans="1:17" ht="21" customHeight="1" x14ac:dyDescent="0.45">
      <c r="A89" s="1" t="s">
        <v>28</v>
      </c>
      <c r="B89" s="1" t="s">
        <v>62</v>
      </c>
      <c r="C89" s="1" t="s">
        <v>347</v>
      </c>
      <c r="D89" s="1" t="s">
        <v>99</v>
      </c>
      <c r="E89" s="1" t="s">
        <v>348</v>
      </c>
      <c r="F89" s="1" t="s">
        <v>349</v>
      </c>
      <c r="G89" s="1" t="s">
        <v>31</v>
      </c>
      <c r="H89" s="1" t="s">
        <v>66</v>
      </c>
      <c r="I89" s="1" t="s">
        <v>67</v>
      </c>
      <c r="J89" s="1" t="s">
        <v>154</v>
      </c>
      <c r="K89" s="1" t="s">
        <v>69</v>
      </c>
      <c r="L89" s="21">
        <v>45463</v>
      </c>
      <c r="M89" s="1" t="s">
        <v>103</v>
      </c>
      <c r="N89" s="21">
        <v>45470</v>
      </c>
      <c r="O89" s="1" t="s">
        <v>104</v>
      </c>
      <c r="P89" s="1" t="s">
        <v>441</v>
      </c>
      <c r="Q89" s="1"/>
    </row>
    <row r="90" spans="1:17" ht="21" customHeight="1" x14ac:dyDescent="0.45">
      <c r="A90" s="1" t="s">
        <v>28</v>
      </c>
      <c r="B90" s="1" t="s">
        <v>62</v>
      </c>
      <c r="C90" s="1" t="s">
        <v>350</v>
      </c>
      <c r="D90" s="1" t="s">
        <v>47</v>
      </c>
      <c r="E90" s="1" t="s">
        <v>351</v>
      </c>
      <c r="F90" s="1" t="s">
        <v>352</v>
      </c>
      <c r="G90" s="1" t="s">
        <v>37</v>
      </c>
      <c r="H90" s="1" t="s">
        <v>66</v>
      </c>
      <c r="I90" s="1" t="s">
        <v>67</v>
      </c>
      <c r="J90" s="1" t="s">
        <v>143</v>
      </c>
      <c r="K90" s="1" t="s">
        <v>144</v>
      </c>
      <c r="L90" s="21">
        <v>45460</v>
      </c>
      <c r="M90" s="1" t="s">
        <v>60</v>
      </c>
      <c r="N90" s="21">
        <v>45467</v>
      </c>
      <c r="O90" s="1" t="s">
        <v>108</v>
      </c>
      <c r="P90" s="1" t="s">
        <v>442</v>
      </c>
      <c r="Q90" s="1"/>
    </row>
    <row r="91" spans="1:17" ht="21" customHeight="1" x14ac:dyDescent="0.45">
      <c r="A91" s="1" t="s">
        <v>28</v>
      </c>
      <c r="B91" s="1" t="s">
        <v>324</v>
      </c>
      <c r="C91" s="1" t="s">
        <v>353</v>
      </c>
      <c r="D91" s="1" t="s">
        <v>47</v>
      </c>
      <c r="E91" s="1" t="s">
        <v>354</v>
      </c>
      <c r="F91" s="1" t="s">
        <v>355</v>
      </c>
      <c r="G91" s="1" t="s">
        <v>29</v>
      </c>
      <c r="H91" s="1" t="s">
        <v>200</v>
      </c>
      <c r="I91" s="1" t="s">
        <v>82</v>
      </c>
      <c r="J91" s="1" t="s">
        <v>201</v>
      </c>
      <c r="K91" s="1" t="s">
        <v>202</v>
      </c>
      <c r="L91" s="21">
        <v>45464</v>
      </c>
      <c r="M91" s="1" t="s">
        <v>70</v>
      </c>
      <c r="N91" s="21">
        <v>45471</v>
      </c>
      <c r="O91" s="1" t="s">
        <v>71</v>
      </c>
      <c r="P91" s="1" t="s">
        <v>443</v>
      </c>
      <c r="Q91" s="1"/>
    </row>
    <row r="92" spans="1:17" ht="21" customHeight="1" x14ac:dyDescent="0.45">
      <c r="A92" s="1" t="s">
        <v>28</v>
      </c>
      <c r="B92" s="1" t="s">
        <v>62</v>
      </c>
      <c r="C92" s="1" t="s">
        <v>356</v>
      </c>
      <c r="D92" s="1" t="s">
        <v>99</v>
      </c>
      <c r="E92" s="1" t="s">
        <v>357</v>
      </c>
      <c r="F92" s="1" t="s">
        <v>358</v>
      </c>
      <c r="G92" s="1" t="s">
        <v>31</v>
      </c>
      <c r="H92" s="1" t="s">
        <v>66</v>
      </c>
      <c r="I92" s="1" t="s">
        <v>67</v>
      </c>
      <c r="J92" s="1" t="s">
        <v>102</v>
      </c>
      <c r="K92" s="1" t="s">
        <v>69</v>
      </c>
      <c r="L92" s="21">
        <v>45463</v>
      </c>
      <c r="M92" s="1" t="s">
        <v>103</v>
      </c>
      <c r="N92" s="21">
        <v>45470</v>
      </c>
      <c r="O92" s="1" t="s">
        <v>104</v>
      </c>
      <c r="P92" s="1" t="s">
        <v>444</v>
      </c>
      <c r="Q92" s="1"/>
    </row>
    <row r="93" spans="1:17" ht="21" customHeight="1" x14ac:dyDescent="0.45">
      <c r="A93" s="1" t="s">
        <v>28</v>
      </c>
      <c r="B93" s="1" t="s">
        <v>62</v>
      </c>
      <c r="C93" s="1" t="s">
        <v>359</v>
      </c>
      <c r="D93" s="1" t="s">
        <v>99</v>
      </c>
      <c r="E93" s="1" t="s">
        <v>360</v>
      </c>
      <c r="F93" s="1" t="s">
        <v>361</v>
      </c>
      <c r="G93" s="1" t="s">
        <v>31</v>
      </c>
      <c r="H93" s="1" t="s">
        <v>66</v>
      </c>
      <c r="I93" s="1" t="s">
        <v>67</v>
      </c>
      <c r="J93" s="1" t="s">
        <v>102</v>
      </c>
      <c r="K93" s="1" t="s">
        <v>69</v>
      </c>
      <c r="L93" s="21">
        <v>45463</v>
      </c>
      <c r="M93" s="1" t="s">
        <v>103</v>
      </c>
      <c r="N93" s="21">
        <v>45470</v>
      </c>
      <c r="O93" s="1" t="s">
        <v>104</v>
      </c>
      <c r="P93" s="1" t="s">
        <v>445</v>
      </c>
      <c r="Q93" s="1"/>
    </row>
    <row r="94" spans="1:17" ht="21" customHeight="1" x14ac:dyDescent="0.45">
      <c r="A94" s="13" t="s">
        <v>364</v>
      </c>
      <c r="B94" s="14"/>
      <c r="C94" s="13"/>
      <c r="D94" s="23"/>
      <c r="E94" s="13">
        <f>COUNTA(E13:E93)</f>
        <v>81</v>
      </c>
      <c r="F94" s="19"/>
      <c r="G94" s="14"/>
      <c r="H94" s="14"/>
      <c r="I94" s="14"/>
      <c r="J94" s="14"/>
      <c r="K94" s="15"/>
      <c r="L94" s="19"/>
      <c r="M94" s="19"/>
      <c r="N94" s="19"/>
      <c r="O94" s="19"/>
      <c r="P94" s="19"/>
      <c r="Q94" s="19"/>
    </row>
    <row r="95" spans="1:17" ht="21" customHeight="1" x14ac:dyDescent="0.45">
      <c r="C95" s="8"/>
      <c r="D95" s="8"/>
      <c r="E95" s="8"/>
      <c r="F95" s="8"/>
      <c r="G95" s="8"/>
      <c r="H95" s="8"/>
      <c r="I95" s="8"/>
      <c r="J95" s="8"/>
      <c r="K95" s="9"/>
    </row>
    <row r="96" spans="1:17" ht="21" customHeight="1" x14ac:dyDescent="0.45">
      <c r="C96" s="8"/>
      <c r="D96" s="8"/>
      <c r="E96" s="8"/>
      <c r="F96" s="8"/>
      <c r="G96" s="8"/>
      <c r="H96" s="8"/>
      <c r="I96" s="8"/>
      <c r="J96" s="8"/>
      <c r="K96" s="9"/>
    </row>
    <row r="97" spans="3:11" ht="21" customHeight="1" x14ac:dyDescent="0.45">
      <c r="C97" s="8"/>
      <c r="D97" s="8"/>
      <c r="E97" s="8"/>
      <c r="F97" s="8"/>
      <c r="G97" s="8"/>
      <c r="H97" s="8"/>
      <c r="I97" s="8"/>
      <c r="J97" s="8"/>
      <c r="K97" s="9"/>
    </row>
    <row r="98" spans="3:11" ht="21" customHeight="1" x14ac:dyDescent="0.45">
      <c r="C98" s="8"/>
      <c r="D98" s="8"/>
      <c r="E98" s="8"/>
      <c r="F98" s="8"/>
      <c r="G98" s="8"/>
      <c r="H98" s="8"/>
      <c r="I98" s="8"/>
      <c r="J98" s="8"/>
      <c r="K98" s="9"/>
    </row>
    <row r="99" spans="3:11" ht="21" customHeight="1" x14ac:dyDescent="0.45">
      <c r="C99" s="8"/>
      <c r="D99" s="8"/>
      <c r="E99" s="8"/>
      <c r="F99" s="8"/>
      <c r="G99" s="8"/>
      <c r="H99" s="8"/>
      <c r="I99" s="8"/>
      <c r="J99" s="8"/>
      <c r="K99" s="9"/>
    </row>
    <row r="100" spans="3:11" ht="21" customHeight="1" x14ac:dyDescent="0.45">
      <c r="C100" s="8"/>
      <c r="D100" s="8"/>
      <c r="E100" s="8"/>
      <c r="F100" s="8"/>
      <c r="G100" s="8"/>
      <c r="H100" s="8"/>
      <c r="I100" s="8"/>
      <c r="J100" s="8"/>
      <c r="K100" s="9"/>
    </row>
    <row r="101" spans="3:11" ht="21" customHeight="1" x14ac:dyDescent="0.45">
      <c r="C101" s="8"/>
      <c r="D101" s="8"/>
      <c r="E101" s="8"/>
      <c r="F101" s="8"/>
      <c r="G101" s="8"/>
      <c r="H101" s="8"/>
      <c r="I101" s="8"/>
      <c r="J101" s="8"/>
      <c r="K101" s="9"/>
    </row>
    <row r="102" spans="3:11" ht="21" customHeight="1" x14ac:dyDescent="0.45">
      <c r="C102" s="8"/>
      <c r="D102" s="8"/>
      <c r="E102" s="8"/>
      <c r="F102" s="8"/>
      <c r="G102" s="8"/>
      <c r="H102" s="8"/>
      <c r="I102" s="8"/>
      <c r="J102" s="8"/>
      <c r="K102" s="9"/>
    </row>
    <row r="103" spans="3:11" ht="21" customHeight="1" x14ac:dyDescent="0.45">
      <c r="C103" s="8"/>
      <c r="D103" s="8"/>
      <c r="E103" s="8"/>
      <c r="F103" s="8"/>
      <c r="G103" s="8"/>
      <c r="H103" s="8"/>
      <c r="I103" s="8"/>
      <c r="J103" s="8"/>
      <c r="K103" s="9"/>
    </row>
  </sheetData>
  <mergeCells count="2">
    <mergeCell ref="A1:Q1"/>
    <mergeCell ref="A2:Q2"/>
  </mergeCells>
  <pageMargins left="0.39370078740157499" right="0.39370078740157499" top="0.59055118110236204" bottom="0.59055118110236204" header="0" footer="0.39370078740157499"/>
  <pageSetup paperSize="9" scale="56" fitToHeight="0" orientation="landscape" horizontalDpi="300" verticalDpi="300" r:id="rId1"/>
  <headerFooter>
    <oddFooter>&amp;L&amp;D &amp;T&amp;RPage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627AA4A8877F44A719E86AE7F81085" ma:contentTypeVersion="18" ma:contentTypeDescription="Create a new document." ma:contentTypeScope="" ma:versionID="8d08294ab034f743ee2c8a57fd34b325">
  <xsd:schema xmlns:xsd="http://www.w3.org/2001/XMLSchema" xmlns:xs="http://www.w3.org/2001/XMLSchema" xmlns:p="http://schemas.microsoft.com/office/2006/metadata/properties" xmlns:ns2="4f12db2e-5c53-481a-ae6e-65aa928951b8" xmlns:ns3="44477e68-d5e9-4601-a882-1145c1f9c77b" targetNamespace="http://schemas.microsoft.com/office/2006/metadata/properties" ma:root="true" ma:fieldsID="f27d1f18f409ee9c78881bfdbd1b1df9" ns2:_="" ns3:_="">
    <xsd:import namespace="4f12db2e-5c53-481a-ae6e-65aa928951b8"/>
    <xsd:import namespace="44477e68-d5e9-4601-a882-1145c1f9c7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2db2e-5c53-481a-ae6e-65aa92895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77e68-d5e9-4601-a882-1145c1f9c77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40c9f2-a681-40af-b731-559e246e5136}" ma:internalName="TaxCatchAll" ma:showField="CatchAllData" ma:web="44477e68-d5e9-4601-a882-1145c1f9c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12db2e-5c53-481a-ae6e-65aa928951b8">
      <Terms xmlns="http://schemas.microsoft.com/office/infopath/2007/PartnerControls"/>
    </lcf76f155ced4ddcb4097134ff3c332f>
    <TaxCatchAll xmlns="44477e68-d5e9-4601-a882-1145c1f9c77b" xsi:nil="true"/>
  </documentManagement>
</p:properties>
</file>

<file path=customXml/itemProps1.xml><?xml version="1.0" encoding="utf-8"?>
<ds:datastoreItem xmlns:ds="http://schemas.openxmlformats.org/officeDocument/2006/customXml" ds:itemID="{738E4FCF-4EA6-450A-BF96-FE63C4727F26}"/>
</file>

<file path=customXml/itemProps2.xml><?xml version="1.0" encoding="utf-8"?>
<ds:datastoreItem xmlns:ds="http://schemas.openxmlformats.org/officeDocument/2006/customXml" ds:itemID="{F3C8BAB6-C382-49C5-855C-D2FD6E467188}"/>
</file>

<file path=customXml/itemProps3.xml><?xml version="1.0" encoding="utf-8"?>
<ds:datastoreItem xmlns:ds="http://schemas.openxmlformats.org/officeDocument/2006/customXml" ds:itemID="{85A8CBF4-6499-4DD4-A450-9522F4817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Summary</vt:lpstr>
      <vt:lpstr>Pivot</vt:lpstr>
      <vt:lpstr>Detail</vt:lpstr>
      <vt:lpstr>Pivot!_.ignore._</vt:lpstr>
      <vt:lpstr>Detail!__datatable1__X</vt:lpstr>
      <vt:lpstr>Raw!__datatable1__X</vt:lpstr>
      <vt:lpstr>Summary!__datatable2__X</vt:lpstr>
      <vt:lpstr>Detail!__group__</vt:lpstr>
      <vt:lpstr>Summary!__group2__</vt:lpstr>
      <vt:lpstr>Detail!Print_Titles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Bonnell</dc:creator>
  <cp:lastModifiedBy>Nic Chase</cp:lastModifiedBy>
  <cp:lastPrinted>2021-07-25T22:30:01Z</cp:lastPrinted>
  <dcterms:created xsi:type="dcterms:W3CDTF">2024-06-20T08:30:05Z</dcterms:created>
  <dcterms:modified xsi:type="dcterms:W3CDTF">2024-10-14T07:02:23Z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0x01010047627AA4A8877F44A719E86AE7F81085</vt:lpwstr>
  </property>
</Properties>
</file>